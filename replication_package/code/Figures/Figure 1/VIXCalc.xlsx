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H:\Dropbox\vixseasonality\VIXCalc\"/>
    </mc:Choice>
  </mc:AlternateContent>
  <xr:revisionPtr revIDLastSave="0" documentId="13_ncr:1_{5F09A289-B241-4993-B846-1DD096375F42}" xr6:coauthVersionLast="47" xr6:coauthVersionMax="47" xr10:uidLastSave="{00000000-0000-0000-0000-000000000000}"/>
  <bookViews>
    <workbookView xWindow="-120" yWindow="-120" windowWidth="29040" windowHeight="15840" activeTab="1" xr2:uid="{9E773460-A6C6-40FA-A1E7-54FBB0771193}"/>
  </bookViews>
  <sheets>
    <sheet name="Sheet4" sheetId="4" r:id="rId1"/>
    <sheet name="Table" sheetId="5" r:id="rId2"/>
  </sheets>
  <calcPr calcId="191029" fullPrecision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" i="4" l="1"/>
  <c r="B2" i="4"/>
  <c r="B3" i="4"/>
  <c r="L20" i="4"/>
  <c r="B5" i="4" l="1"/>
  <c r="A22" i="4"/>
  <c r="A23" i="4" s="1"/>
  <c r="D3" i="4"/>
  <c r="D9" i="4" s="1"/>
  <c r="D2" i="4"/>
  <c r="A24" i="4" l="1"/>
  <c r="B23" i="4"/>
  <c r="F3" i="4"/>
  <c r="B7" i="4"/>
  <c r="B9" i="4" s="1"/>
  <c r="F2" i="4"/>
  <c r="E22" i="4" l="1"/>
  <c r="E23" i="4" s="1"/>
  <c r="E24" i="4" s="1"/>
  <c r="E25" i="4" s="1"/>
  <c r="E26" i="4" s="1"/>
  <c r="E27" i="4" s="1"/>
  <c r="E28" i="4" s="1"/>
  <c r="E29" i="4" s="1"/>
  <c r="E30" i="4" s="1"/>
  <c r="E31" i="4" s="1"/>
  <c r="E32" i="4" s="1"/>
  <c r="E33" i="4" s="1"/>
  <c r="E34" i="4" s="1"/>
  <c r="E35" i="4" s="1"/>
  <c r="E36" i="4" s="1"/>
  <c r="E37" i="4" s="1"/>
  <c r="E38" i="4" s="1"/>
  <c r="E39" i="4" s="1"/>
  <c r="E40" i="4" s="1"/>
  <c r="E41" i="4" s="1"/>
  <c r="E42" i="4" s="1"/>
  <c r="E43" i="4" s="1"/>
  <c r="E44" i="4" s="1"/>
  <c r="E45" i="4" s="1"/>
  <c r="E46" i="4" s="1"/>
  <c r="E47" i="4" s="1"/>
  <c r="E48" i="4" s="1"/>
  <c r="E49" i="4" s="1"/>
  <c r="E50" i="4" s="1"/>
  <c r="E51" i="4" s="1"/>
  <c r="E52" i="4" s="1"/>
  <c r="E53" i="4" s="1"/>
  <c r="E54" i="4" s="1"/>
  <c r="E55" i="4" s="1"/>
  <c r="E56" i="4" s="1"/>
  <c r="E57" i="4" s="1"/>
  <c r="E58" i="4" s="1"/>
  <c r="E59" i="4" s="1"/>
  <c r="E60" i="4" s="1"/>
  <c r="E61" i="4" s="1"/>
  <c r="E62" i="4" s="1"/>
  <c r="E63" i="4" s="1"/>
  <c r="E64" i="4" s="1"/>
  <c r="E65" i="4" s="1"/>
  <c r="E66" i="4" s="1"/>
  <c r="E67" i="4" s="1"/>
  <c r="E68" i="4" s="1"/>
  <c r="E69" i="4" s="1"/>
  <c r="E70" i="4" s="1"/>
  <c r="E71" i="4" s="1"/>
  <c r="E72" i="4" s="1"/>
  <c r="E73" i="4" s="1"/>
  <c r="E74" i="4" s="1"/>
  <c r="E75" i="4" s="1"/>
  <c r="E76" i="4" s="1"/>
  <c r="E77" i="4" s="1"/>
  <c r="E78" i="4" s="1"/>
  <c r="E79" i="4" s="1"/>
  <c r="E80" i="4" s="1"/>
  <c r="E81" i="4" s="1"/>
  <c r="E82" i="4" s="1"/>
  <c r="E83" i="4" s="1"/>
  <c r="E84" i="4" s="1"/>
  <c r="E85" i="4" s="1"/>
  <c r="E86" i="4" s="1"/>
  <c r="E87" i="4" s="1"/>
  <c r="E88" i="4" s="1"/>
  <c r="E89" i="4" s="1"/>
  <c r="E90" i="4" s="1"/>
  <c r="E91" i="4" s="1"/>
  <c r="E92" i="4" s="1"/>
  <c r="E93" i="4" s="1"/>
  <c r="E94" i="4" s="1"/>
  <c r="E95" i="4" s="1"/>
  <c r="E96" i="4" s="1"/>
  <c r="E97" i="4" s="1"/>
  <c r="E98" i="4" s="1"/>
  <c r="E99" i="4" s="1"/>
  <c r="E100" i="4" s="1"/>
  <c r="E101" i="4" s="1"/>
  <c r="E102" i="4" s="1"/>
  <c r="E103" i="4" s="1"/>
  <c r="E104" i="4" s="1"/>
  <c r="E105" i="4" s="1"/>
  <c r="E106" i="4" s="1"/>
  <c r="E107" i="4" s="1"/>
  <c r="E108" i="4" s="1"/>
  <c r="E109" i="4" s="1"/>
  <c r="E110" i="4" s="1"/>
  <c r="E111" i="4" s="1"/>
  <c r="E112" i="4" s="1"/>
  <c r="E113" i="4" s="1"/>
  <c r="E114" i="4" s="1"/>
  <c r="E115" i="4" s="1"/>
  <c r="E116" i="4" s="1"/>
  <c r="E117" i="4" s="1"/>
  <c r="E118" i="4" s="1"/>
  <c r="E119" i="4" s="1"/>
  <c r="E120" i="4" s="1"/>
  <c r="E121" i="4" s="1"/>
  <c r="E122" i="4" s="1"/>
  <c r="E123" i="4" s="1"/>
  <c r="E124" i="4" s="1"/>
  <c r="E125" i="4" s="1"/>
  <c r="E126" i="4" s="1"/>
  <c r="E127" i="4" s="1"/>
  <c r="E128" i="4" s="1"/>
  <c r="E129" i="4" s="1"/>
  <c r="E130" i="4" s="1"/>
  <c r="E131" i="4" s="1"/>
  <c r="E132" i="4" s="1"/>
  <c r="E133" i="4" s="1"/>
  <c r="E134" i="4" s="1"/>
  <c r="E135" i="4" s="1"/>
  <c r="E136" i="4" s="1"/>
  <c r="E137" i="4" s="1"/>
  <c r="E138" i="4" s="1"/>
  <c r="E139" i="4" s="1"/>
  <c r="E140" i="4" s="1"/>
  <c r="E141" i="4" s="1"/>
  <c r="E142" i="4" s="1"/>
  <c r="E143" i="4" s="1"/>
  <c r="E144" i="4" s="1"/>
  <c r="E145" i="4" s="1"/>
  <c r="E146" i="4" s="1"/>
  <c r="E147" i="4" s="1"/>
  <c r="E148" i="4" s="1"/>
  <c r="E149" i="4" s="1"/>
  <c r="E150" i="4" s="1"/>
  <c r="E151" i="4" s="1"/>
  <c r="E152" i="4" s="1"/>
  <c r="E153" i="4" s="1"/>
  <c r="E154" i="4" s="1"/>
  <c r="E155" i="4" s="1"/>
  <c r="E156" i="4" s="1"/>
  <c r="E157" i="4" s="1"/>
  <c r="E158" i="4" s="1"/>
  <c r="E159" i="4" s="1"/>
  <c r="E160" i="4" s="1"/>
  <c r="E161" i="4" s="1"/>
  <c r="E162" i="4" s="1"/>
  <c r="E163" i="4" s="1"/>
  <c r="E164" i="4" s="1"/>
  <c r="E165" i="4" s="1"/>
  <c r="E166" i="4" s="1"/>
  <c r="E167" i="4" s="1"/>
  <c r="E168" i="4" s="1"/>
  <c r="E169" i="4" s="1"/>
  <c r="E170" i="4" s="1"/>
  <c r="E171" i="4" s="1"/>
  <c r="E172" i="4" s="1"/>
  <c r="E173" i="4" s="1"/>
  <c r="E174" i="4" s="1"/>
  <c r="E175" i="4" s="1"/>
  <c r="E176" i="4" s="1"/>
  <c r="E177" i="4" s="1"/>
  <c r="E178" i="4" s="1"/>
  <c r="E179" i="4" s="1"/>
  <c r="E180" i="4" s="1"/>
  <c r="E181" i="4" s="1"/>
  <c r="E182" i="4" s="1"/>
  <c r="E183" i="4" s="1"/>
  <c r="E184" i="4" s="1"/>
  <c r="E185" i="4" s="1"/>
  <c r="E186" i="4" s="1"/>
  <c r="E187" i="4" s="1"/>
  <c r="E188" i="4" s="1"/>
  <c r="E189" i="4" s="1"/>
  <c r="E190" i="4" s="1"/>
  <c r="E191" i="4" s="1"/>
  <c r="E192" i="4" s="1"/>
  <c r="E193" i="4" s="1"/>
  <c r="E194" i="4" s="1"/>
  <c r="E195" i="4" s="1"/>
  <c r="E196" i="4" s="1"/>
  <c r="E197" i="4" s="1"/>
  <c r="E198" i="4" s="1"/>
  <c r="E199" i="4" s="1"/>
  <c r="E200" i="4" s="1"/>
  <c r="E201" i="4" s="1"/>
  <c r="E202" i="4" s="1"/>
  <c r="E203" i="4" s="1"/>
  <c r="E204" i="4" s="1"/>
  <c r="E205" i="4" s="1"/>
  <c r="E206" i="4" s="1"/>
  <c r="E207" i="4" s="1"/>
  <c r="E208" i="4" s="1"/>
  <c r="E209" i="4" s="1"/>
  <c r="E210" i="4" s="1"/>
  <c r="E211" i="4" s="1"/>
  <c r="E212" i="4" s="1"/>
  <c r="E213" i="4" s="1"/>
  <c r="E214" i="4" s="1"/>
  <c r="E215" i="4" s="1"/>
  <c r="E216" i="4" s="1"/>
  <c r="E217" i="4" s="1"/>
  <c r="E218" i="4" s="1"/>
  <c r="E219" i="4" s="1"/>
  <c r="E220" i="4" s="1"/>
  <c r="E221" i="4" s="1"/>
  <c r="E222" i="4" s="1"/>
  <c r="E223" i="4" s="1"/>
  <c r="E224" i="4" s="1"/>
  <c r="E225" i="4" s="1"/>
  <c r="E226" i="4" s="1"/>
  <c r="E227" i="4" s="1"/>
  <c r="E228" i="4" s="1"/>
  <c r="E229" i="4" s="1"/>
  <c r="E230" i="4" s="1"/>
  <c r="E231" i="4" s="1"/>
  <c r="E232" i="4" s="1"/>
  <c r="E233" i="4" s="1"/>
  <c r="E234" i="4" s="1"/>
  <c r="E235" i="4" s="1"/>
  <c r="E236" i="4" s="1"/>
  <c r="E237" i="4" s="1"/>
  <c r="E238" i="4" s="1"/>
  <c r="E239" i="4" s="1"/>
  <c r="E240" i="4" s="1"/>
  <c r="E241" i="4" s="1"/>
  <c r="E242" i="4" s="1"/>
  <c r="E243" i="4" s="1"/>
  <c r="E244" i="4" s="1"/>
  <c r="E245" i="4" s="1"/>
  <c r="E246" i="4" s="1"/>
  <c r="E247" i="4" s="1"/>
  <c r="E248" i="4" s="1"/>
  <c r="E249" i="4" s="1"/>
  <c r="E250" i="4" s="1"/>
  <c r="E251" i="4" s="1"/>
  <c r="E252" i="4" s="1"/>
  <c r="E253" i="4" s="1"/>
  <c r="E254" i="4" s="1"/>
  <c r="E255" i="4" s="1"/>
  <c r="E256" i="4" s="1"/>
  <c r="E257" i="4" s="1"/>
  <c r="E258" i="4" s="1"/>
  <c r="E259" i="4" s="1"/>
  <c r="E260" i="4" s="1"/>
  <c r="E261" i="4" s="1"/>
  <c r="E262" i="4" s="1"/>
  <c r="E263" i="4" s="1"/>
  <c r="E264" i="4" s="1"/>
  <c r="E265" i="4" s="1"/>
  <c r="E266" i="4" s="1"/>
  <c r="E267" i="4" s="1"/>
  <c r="E268" i="4" s="1"/>
  <c r="E269" i="4" s="1"/>
  <c r="E270" i="4" s="1"/>
  <c r="E271" i="4" s="1"/>
  <c r="E272" i="4" s="1"/>
  <c r="E273" i="4" s="1"/>
  <c r="E274" i="4" s="1"/>
  <c r="E275" i="4" s="1"/>
  <c r="E276" i="4" s="1"/>
  <c r="E277" i="4" s="1"/>
  <c r="E278" i="4" s="1"/>
  <c r="E279" i="4" s="1"/>
  <c r="E280" i="4" s="1"/>
  <c r="E281" i="4" s="1"/>
  <c r="E282" i="4" s="1"/>
  <c r="E283" i="4" s="1"/>
  <c r="E284" i="4" s="1"/>
  <c r="E285" i="4" s="1"/>
  <c r="E286" i="4" s="1"/>
  <c r="E287" i="4" s="1"/>
  <c r="E288" i="4" s="1"/>
  <c r="E289" i="4" s="1"/>
  <c r="E290" i="4" s="1"/>
  <c r="E291" i="4" s="1"/>
  <c r="E292" i="4" s="1"/>
  <c r="E293" i="4" s="1"/>
  <c r="E294" i="4" s="1"/>
  <c r="E295" i="4" s="1"/>
  <c r="E296" i="4" s="1"/>
  <c r="E297" i="4" s="1"/>
  <c r="E298" i="4" s="1"/>
  <c r="E299" i="4" s="1"/>
  <c r="E300" i="4" s="1"/>
  <c r="E301" i="4" s="1"/>
  <c r="E302" i="4" s="1"/>
  <c r="E303" i="4" s="1"/>
  <c r="E304" i="4" s="1"/>
  <c r="E305" i="4" s="1"/>
  <c r="E306" i="4" s="1"/>
  <c r="E307" i="4" s="1"/>
  <c r="E308" i="4" s="1"/>
  <c r="E309" i="4" s="1"/>
  <c r="E310" i="4" s="1"/>
  <c r="E311" i="4" s="1"/>
  <c r="E312" i="4" s="1"/>
  <c r="E313" i="4" s="1"/>
  <c r="E314" i="4" s="1"/>
  <c r="E315" i="4" s="1"/>
  <c r="E316" i="4" s="1"/>
  <c r="E317" i="4" s="1"/>
  <c r="E318" i="4" s="1"/>
  <c r="E319" i="4" s="1"/>
  <c r="E320" i="4" s="1"/>
  <c r="E321" i="4" s="1"/>
  <c r="E322" i="4" s="1"/>
  <c r="E323" i="4" s="1"/>
  <c r="E324" i="4" s="1"/>
  <c r="E325" i="4" s="1"/>
  <c r="E326" i="4" s="1"/>
  <c r="E327" i="4" s="1"/>
  <c r="E328" i="4" s="1"/>
  <c r="E329" i="4" s="1"/>
  <c r="E330" i="4" s="1"/>
  <c r="E331" i="4" s="1"/>
  <c r="E332" i="4" s="1"/>
  <c r="E333" i="4" s="1"/>
  <c r="E334" i="4" s="1"/>
  <c r="E335" i="4" s="1"/>
  <c r="E336" i="4" s="1"/>
  <c r="E337" i="4" s="1"/>
  <c r="E338" i="4" s="1"/>
  <c r="E339" i="4" s="1"/>
  <c r="E340" i="4" s="1"/>
  <c r="E341" i="4" s="1"/>
  <c r="E342" i="4" s="1"/>
  <c r="E343" i="4" s="1"/>
  <c r="E344" i="4" s="1"/>
  <c r="E345" i="4" s="1"/>
  <c r="E346" i="4" s="1"/>
  <c r="E347" i="4" s="1"/>
  <c r="E348" i="4" s="1"/>
  <c r="E349" i="4" s="1"/>
  <c r="E350" i="4" s="1"/>
  <c r="E351" i="4" s="1"/>
  <c r="E352" i="4" s="1"/>
  <c r="E353" i="4" s="1"/>
  <c r="E354" i="4" s="1"/>
  <c r="E355" i="4" s="1"/>
  <c r="E356" i="4" s="1"/>
  <c r="E357" i="4" s="1"/>
  <c r="E358" i="4" s="1"/>
  <c r="E359" i="4" s="1"/>
  <c r="E360" i="4" s="1"/>
  <c r="E361" i="4" s="1"/>
  <c r="E362" i="4" s="1"/>
  <c r="E363" i="4" s="1"/>
  <c r="E364" i="4" s="1"/>
  <c r="E365" i="4" s="1"/>
  <c r="E366" i="4" s="1"/>
  <c r="E367" i="4" s="1"/>
  <c r="E368" i="4" s="1"/>
  <c r="E369" i="4" s="1"/>
  <c r="E370" i="4" s="1"/>
  <c r="E371" i="4" s="1"/>
  <c r="E372" i="4" s="1"/>
  <c r="E373" i="4" s="1"/>
  <c r="E374" i="4" s="1"/>
  <c r="E375" i="4" s="1"/>
  <c r="E376" i="4" s="1"/>
  <c r="E377" i="4" s="1"/>
  <c r="E378" i="4" s="1"/>
  <c r="E379" i="4" s="1"/>
  <c r="E380" i="4" s="1"/>
  <c r="E381" i="4" s="1"/>
  <c r="E382" i="4" s="1"/>
  <c r="E383" i="4" s="1"/>
  <c r="E384" i="4" s="1"/>
  <c r="E385" i="4" s="1"/>
  <c r="E386" i="4" s="1"/>
  <c r="E387" i="4" s="1"/>
  <c r="E388" i="4" s="1"/>
  <c r="E389" i="4" s="1"/>
  <c r="E390" i="4" s="1"/>
  <c r="E391" i="4" s="1"/>
  <c r="E392" i="4" s="1"/>
  <c r="E393" i="4" s="1"/>
  <c r="E394" i="4" s="1"/>
  <c r="E395" i="4" s="1"/>
  <c r="E396" i="4" s="1"/>
  <c r="E397" i="4" s="1"/>
  <c r="B24" i="4"/>
  <c r="A25" i="4"/>
  <c r="H2" i="4"/>
  <c r="H3" i="4"/>
  <c r="D7" i="4"/>
  <c r="D5" i="4"/>
  <c r="C22" i="4"/>
  <c r="C23" i="4" s="1"/>
  <c r="B8" i="4"/>
  <c r="G22" i="4" l="1"/>
  <c r="G23" i="4" s="1"/>
  <c r="G24" i="4" s="1"/>
  <c r="G25" i="4" s="1"/>
  <c r="G26" i="4" s="1"/>
  <c r="G27" i="4" s="1"/>
  <c r="G28" i="4" s="1"/>
  <c r="G29" i="4" s="1"/>
  <c r="G30" i="4" s="1"/>
  <c r="G31" i="4" s="1"/>
  <c r="G32" i="4" s="1"/>
  <c r="G33" i="4" s="1"/>
  <c r="G34" i="4" s="1"/>
  <c r="G35" i="4" s="1"/>
  <c r="G36" i="4" s="1"/>
  <c r="G37" i="4" s="1"/>
  <c r="G38" i="4" s="1"/>
  <c r="G39" i="4" s="1"/>
  <c r="G40" i="4" s="1"/>
  <c r="G41" i="4" s="1"/>
  <c r="G42" i="4" s="1"/>
  <c r="G43" i="4" s="1"/>
  <c r="G44" i="4" s="1"/>
  <c r="G45" i="4" s="1"/>
  <c r="G46" i="4" s="1"/>
  <c r="G47" i="4" s="1"/>
  <c r="G48" i="4" s="1"/>
  <c r="G49" i="4" s="1"/>
  <c r="G50" i="4" s="1"/>
  <c r="G51" i="4" s="1"/>
  <c r="G52" i="4" s="1"/>
  <c r="G53" i="4" s="1"/>
  <c r="G54" i="4" s="1"/>
  <c r="G55" i="4" s="1"/>
  <c r="G56" i="4" s="1"/>
  <c r="G57" i="4" s="1"/>
  <c r="G58" i="4" s="1"/>
  <c r="G59" i="4" s="1"/>
  <c r="G60" i="4" s="1"/>
  <c r="G61" i="4" s="1"/>
  <c r="G62" i="4" s="1"/>
  <c r="G63" i="4" s="1"/>
  <c r="G64" i="4" s="1"/>
  <c r="G65" i="4" s="1"/>
  <c r="G66" i="4" s="1"/>
  <c r="G67" i="4" s="1"/>
  <c r="G68" i="4" s="1"/>
  <c r="G69" i="4" s="1"/>
  <c r="G70" i="4" s="1"/>
  <c r="G71" i="4" s="1"/>
  <c r="G72" i="4" s="1"/>
  <c r="G73" i="4" s="1"/>
  <c r="G74" i="4" s="1"/>
  <c r="G75" i="4" s="1"/>
  <c r="G76" i="4" s="1"/>
  <c r="G77" i="4" s="1"/>
  <c r="G78" i="4" s="1"/>
  <c r="G79" i="4" s="1"/>
  <c r="G80" i="4" s="1"/>
  <c r="G81" i="4" s="1"/>
  <c r="G82" i="4" s="1"/>
  <c r="G83" i="4" s="1"/>
  <c r="G84" i="4" s="1"/>
  <c r="G85" i="4" s="1"/>
  <c r="G86" i="4" s="1"/>
  <c r="G87" i="4" s="1"/>
  <c r="G88" i="4" s="1"/>
  <c r="G89" i="4" s="1"/>
  <c r="G90" i="4" s="1"/>
  <c r="G91" i="4" s="1"/>
  <c r="G92" i="4" s="1"/>
  <c r="G93" i="4" s="1"/>
  <c r="G94" i="4" s="1"/>
  <c r="G95" i="4" s="1"/>
  <c r="G96" i="4" s="1"/>
  <c r="G97" i="4" s="1"/>
  <c r="G98" i="4" s="1"/>
  <c r="G99" i="4" s="1"/>
  <c r="G100" i="4" s="1"/>
  <c r="G101" i="4" s="1"/>
  <c r="G102" i="4" s="1"/>
  <c r="G103" i="4" s="1"/>
  <c r="G104" i="4" s="1"/>
  <c r="G105" i="4" s="1"/>
  <c r="G106" i="4" s="1"/>
  <c r="G107" i="4" s="1"/>
  <c r="G108" i="4" s="1"/>
  <c r="G109" i="4" s="1"/>
  <c r="G110" i="4" s="1"/>
  <c r="G111" i="4" s="1"/>
  <c r="G112" i="4" s="1"/>
  <c r="G113" i="4" s="1"/>
  <c r="G114" i="4" s="1"/>
  <c r="G115" i="4" s="1"/>
  <c r="G116" i="4" s="1"/>
  <c r="G117" i="4" s="1"/>
  <c r="G118" i="4" s="1"/>
  <c r="G119" i="4" s="1"/>
  <c r="G120" i="4" s="1"/>
  <c r="G121" i="4" s="1"/>
  <c r="G122" i="4" s="1"/>
  <c r="G123" i="4" s="1"/>
  <c r="G124" i="4" s="1"/>
  <c r="G125" i="4" s="1"/>
  <c r="G126" i="4" s="1"/>
  <c r="G127" i="4" s="1"/>
  <c r="G128" i="4" s="1"/>
  <c r="G129" i="4" s="1"/>
  <c r="G130" i="4" s="1"/>
  <c r="G131" i="4" s="1"/>
  <c r="G132" i="4" s="1"/>
  <c r="G133" i="4" s="1"/>
  <c r="G134" i="4" s="1"/>
  <c r="G135" i="4" s="1"/>
  <c r="G136" i="4" s="1"/>
  <c r="G137" i="4" s="1"/>
  <c r="G138" i="4" s="1"/>
  <c r="G139" i="4" s="1"/>
  <c r="G140" i="4" s="1"/>
  <c r="G141" i="4" s="1"/>
  <c r="G142" i="4" s="1"/>
  <c r="G143" i="4" s="1"/>
  <c r="G144" i="4" s="1"/>
  <c r="G145" i="4" s="1"/>
  <c r="G146" i="4" s="1"/>
  <c r="G147" i="4" s="1"/>
  <c r="G148" i="4" s="1"/>
  <c r="G149" i="4" s="1"/>
  <c r="G150" i="4" s="1"/>
  <c r="G151" i="4" s="1"/>
  <c r="G152" i="4" s="1"/>
  <c r="G153" i="4" s="1"/>
  <c r="G154" i="4" s="1"/>
  <c r="G155" i="4" s="1"/>
  <c r="G156" i="4" s="1"/>
  <c r="G157" i="4" s="1"/>
  <c r="G158" i="4" s="1"/>
  <c r="G159" i="4" s="1"/>
  <c r="G160" i="4" s="1"/>
  <c r="G161" i="4" s="1"/>
  <c r="G162" i="4" s="1"/>
  <c r="G163" i="4" s="1"/>
  <c r="G164" i="4" s="1"/>
  <c r="G165" i="4" s="1"/>
  <c r="G166" i="4" s="1"/>
  <c r="G167" i="4" s="1"/>
  <c r="G168" i="4" s="1"/>
  <c r="G169" i="4" s="1"/>
  <c r="G170" i="4" s="1"/>
  <c r="G171" i="4" s="1"/>
  <c r="G172" i="4" s="1"/>
  <c r="G173" i="4" s="1"/>
  <c r="G174" i="4" s="1"/>
  <c r="G175" i="4" s="1"/>
  <c r="G176" i="4" s="1"/>
  <c r="G177" i="4" s="1"/>
  <c r="G178" i="4" s="1"/>
  <c r="G179" i="4" s="1"/>
  <c r="G180" i="4" s="1"/>
  <c r="G181" i="4" s="1"/>
  <c r="G182" i="4" s="1"/>
  <c r="G183" i="4" s="1"/>
  <c r="G184" i="4" s="1"/>
  <c r="G185" i="4" s="1"/>
  <c r="G186" i="4" s="1"/>
  <c r="G187" i="4" s="1"/>
  <c r="G188" i="4" s="1"/>
  <c r="G189" i="4" s="1"/>
  <c r="G190" i="4" s="1"/>
  <c r="G191" i="4" s="1"/>
  <c r="G192" i="4" s="1"/>
  <c r="G193" i="4" s="1"/>
  <c r="G194" i="4" s="1"/>
  <c r="G195" i="4" s="1"/>
  <c r="G196" i="4" s="1"/>
  <c r="G197" i="4" s="1"/>
  <c r="G198" i="4" s="1"/>
  <c r="G199" i="4" s="1"/>
  <c r="G200" i="4" s="1"/>
  <c r="G201" i="4" s="1"/>
  <c r="G202" i="4" s="1"/>
  <c r="G203" i="4" s="1"/>
  <c r="G204" i="4" s="1"/>
  <c r="G205" i="4" s="1"/>
  <c r="G206" i="4" s="1"/>
  <c r="G207" i="4" s="1"/>
  <c r="G208" i="4" s="1"/>
  <c r="G209" i="4" s="1"/>
  <c r="G210" i="4" s="1"/>
  <c r="G211" i="4" s="1"/>
  <c r="G212" i="4" s="1"/>
  <c r="G213" i="4" s="1"/>
  <c r="G214" i="4" s="1"/>
  <c r="G215" i="4" s="1"/>
  <c r="G216" i="4" s="1"/>
  <c r="G217" i="4" s="1"/>
  <c r="G218" i="4" s="1"/>
  <c r="G219" i="4" s="1"/>
  <c r="G220" i="4" s="1"/>
  <c r="G221" i="4" s="1"/>
  <c r="G222" i="4" s="1"/>
  <c r="G223" i="4" s="1"/>
  <c r="G224" i="4" s="1"/>
  <c r="G225" i="4" s="1"/>
  <c r="G226" i="4" s="1"/>
  <c r="G227" i="4" s="1"/>
  <c r="G228" i="4" s="1"/>
  <c r="G229" i="4" s="1"/>
  <c r="G230" i="4" s="1"/>
  <c r="G231" i="4" s="1"/>
  <c r="G232" i="4" s="1"/>
  <c r="G233" i="4" s="1"/>
  <c r="G234" i="4" s="1"/>
  <c r="G235" i="4" s="1"/>
  <c r="G236" i="4" s="1"/>
  <c r="G237" i="4" s="1"/>
  <c r="G238" i="4" s="1"/>
  <c r="G239" i="4" s="1"/>
  <c r="G240" i="4" s="1"/>
  <c r="G241" i="4" s="1"/>
  <c r="G242" i="4" s="1"/>
  <c r="G243" i="4" s="1"/>
  <c r="G244" i="4" s="1"/>
  <c r="G245" i="4" s="1"/>
  <c r="G246" i="4" s="1"/>
  <c r="G247" i="4" s="1"/>
  <c r="G248" i="4" s="1"/>
  <c r="G249" i="4" s="1"/>
  <c r="G250" i="4" s="1"/>
  <c r="G251" i="4" s="1"/>
  <c r="G252" i="4" s="1"/>
  <c r="G253" i="4" s="1"/>
  <c r="G254" i="4" s="1"/>
  <c r="G255" i="4" s="1"/>
  <c r="G256" i="4" s="1"/>
  <c r="G257" i="4" s="1"/>
  <c r="G258" i="4" s="1"/>
  <c r="G259" i="4" s="1"/>
  <c r="G260" i="4" s="1"/>
  <c r="G261" i="4" s="1"/>
  <c r="G262" i="4" s="1"/>
  <c r="G263" i="4" s="1"/>
  <c r="G264" i="4" s="1"/>
  <c r="G265" i="4" s="1"/>
  <c r="G266" i="4" s="1"/>
  <c r="G267" i="4" s="1"/>
  <c r="G268" i="4" s="1"/>
  <c r="G269" i="4" s="1"/>
  <c r="G270" i="4" s="1"/>
  <c r="G271" i="4" s="1"/>
  <c r="G272" i="4" s="1"/>
  <c r="G273" i="4" s="1"/>
  <c r="G274" i="4" s="1"/>
  <c r="G275" i="4" s="1"/>
  <c r="G276" i="4" s="1"/>
  <c r="G277" i="4" s="1"/>
  <c r="G278" i="4" s="1"/>
  <c r="G279" i="4" s="1"/>
  <c r="G280" i="4" s="1"/>
  <c r="G281" i="4" s="1"/>
  <c r="G282" i="4" s="1"/>
  <c r="G283" i="4" s="1"/>
  <c r="G284" i="4" s="1"/>
  <c r="G285" i="4" s="1"/>
  <c r="G286" i="4" s="1"/>
  <c r="G287" i="4" s="1"/>
  <c r="G288" i="4" s="1"/>
  <c r="G289" i="4" s="1"/>
  <c r="G290" i="4" s="1"/>
  <c r="G291" i="4" s="1"/>
  <c r="G292" i="4" s="1"/>
  <c r="G293" i="4" s="1"/>
  <c r="G294" i="4" s="1"/>
  <c r="G295" i="4" s="1"/>
  <c r="G296" i="4" s="1"/>
  <c r="G297" i="4" s="1"/>
  <c r="G298" i="4" s="1"/>
  <c r="G299" i="4" s="1"/>
  <c r="G300" i="4" s="1"/>
  <c r="G301" i="4" s="1"/>
  <c r="G302" i="4" s="1"/>
  <c r="G303" i="4" s="1"/>
  <c r="G304" i="4" s="1"/>
  <c r="G305" i="4" s="1"/>
  <c r="G306" i="4" s="1"/>
  <c r="G307" i="4" s="1"/>
  <c r="G308" i="4" s="1"/>
  <c r="G309" i="4" s="1"/>
  <c r="G310" i="4" s="1"/>
  <c r="G311" i="4" s="1"/>
  <c r="G312" i="4" s="1"/>
  <c r="G313" i="4" s="1"/>
  <c r="G314" i="4" s="1"/>
  <c r="G315" i="4" s="1"/>
  <c r="G316" i="4" s="1"/>
  <c r="G317" i="4" s="1"/>
  <c r="G318" i="4" s="1"/>
  <c r="G319" i="4" s="1"/>
  <c r="G320" i="4" s="1"/>
  <c r="G321" i="4" s="1"/>
  <c r="G322" i="4" s="1"/>
  <c r="G323" i="4" s="1"/>
  <c r="G324" i="4" s="1"/>
  <c r="G325" i="4" s="1"/>
  <c r="G326" i="4" s="1"/>
  <c r="G327" i="4" s="1"/>
  <c r="G328" i="4" s="1"/>
  <c r="G329" i="4" s="1"/>
  <c r="G330" i="4" s="1"/>
  <c r="G331" i="4" s="1"/>
  <c r="G332" i="4" s="1"/>
  <c r="G333" i="4" s="1"/>
  <c r="G334" i="4" s="1"/>
  <c r="G335" i="4" s="1"/>
  <c r="G336" i="4" s="1"/>
  <c r="G337" i="4" s="1"/>
  <c r="G338" i="4" s="1"/>
  <c r="G339" i="4" s="1"/>
  <c r="G340" i="4" s="1"/>
  <c r="G341" i="4" s="1"/>
  <c r="G342" i="4" s="1"/>
  <c r="G343" i="4" s="1"/>
  <c r="G344" i="4" s="1"/>
  <c r="G345" i="4" s="1"/>
  <c r="G346" i="4" s="1"/>
  <c r="G347" i="4" s="1"/>
  <c r="G348" i="4" s="1"/>
  <c r="G349" i="4" s="1"/>
  <c r="G350" i="4" s="1"/>
  <c r="G351" i="4" s="1"/>
  <c r="G352" i="4" s="1"/>
  <c r="G353" i="4" s="1"/>
  <c r="G354" i="4" s="1"/>
  <c r="G355" i="4" s="1"/>
  <c r="G356" i="4" s="1"/>
  <c r="G357" i="4" s="1"/>
  <c r="G358" i="4" s="1"/>
  <c r="G359" i="4" s="1"/>
  <c r="G360" i="4" s="1"/>
  <c r="G361" i="4" s="1"/>
  <c r="G362" i="4" s="1"/>
  <c r="G363" i="4" s="1"/>
  <c r="G364" i="4" s="1"/>
  <c r="G365" i="4" s="1"/>
  <c r="G366" i="4" s="1"/>
  <c r="G367" i="4" s="1"/>
  <c r="G368" i="4" s="1"/>
  <c r="G369" i="4" s="1"/>
  <c r="G370" i="4" s="1"/>
  <c r="G371" i="4" s="1"/>
  <c r="G372" i="4" s="1"/>
  <c r="G373" i="4" s="1"/>
  <c r="G374" i="4" s="1"/>
  <c r="G375" i="4" s="1"/>
  <c r="G376" i="4" s="1"/>
  <c r="G377" i="4" s="1"/>
  <c r="G378" i="4" s="1"/>
  <c r="G379" i="4" s="1"/>
  <c r="G380" i="4" s="1"/>
  <c r="G381" i="4" s="1"/>
  <c r="G382" i="4" s="1"/>
  <c r="G383" i="4" s="1"/>
  <c r="G384" i="4" s="1"/>
  <c r="G385" i="4" s="1"/>
  <c r="G386" i="4" s="1"/>
  <c r="G387" i="4" s="1"/>
  <c r="G388" i="4" s="1"/>
  <c r="G389" i="4" s="1"/>
  <c r="G390" i="4" s="1"/>
  <c r="G391" i="4" s="1"/>
  <c r="G392" i="4" s="1"/>
  <c r="G393" i="4" s="1"/>
  <c r="G394" i="4" s="1"/>
  <c r="G395" i="4" s="1"/>
  <c r="G396" i="4" s="1"/>
  <c r="G397" i="4" s="1"/>
  <c r="J2" i="4"/>
  <c r="D23" i="4"/>
  <c r="C24" i="4"/>
  <c r="B25" i="4"/>
  <c r="A26" i="4"/>
  <c r="B10" i="4"/>
  <c r="H9" i="4"/>
  <c r="J3" i="4"/>
  <c r="H7" i="4"/>
  <c r="H5" i="4"/>
  <c r="H10" i="4" s="1"/>
  <c r="D10" i="4"/>
  <c r="D8" i="4"/>
  <c r="F7" i="4"/>
  <c r="F5" i="4"/>
  <c r="F9" i="4"/>
  <c r="I22" i="4" l="1"/>
  <c r="I23" i="4" s="1"/>
  <c r="I24" i="4" s="1"/>
  <c r="I25" i="4" s="1"/>
  <c r="I26" i="4" s="1"/>
  <c r="I27" i="4" s="1"/>
  <c r="I28" i="4" s="1"/>
  <c r="I29" i="4" s="1"/>
  <c r="I30" i="4" s="1"/>
  <c r="I31" i="4" s="1"/>
  <c r="I32" i="4" s="1"/>
  <c r="I33" i="4" s="1"/>
  <c r="I34" i="4" s="1"/>
  <c r="I35" i="4" s="1"/>
  <c r="I36" i="4" s="1"/>
  <c r="I37" i="4" s="1"/>
  <c r="I38" i="4" s="1"/>
  <c r="I39" i="4" s="1"/>
  <c r="I40" i="4" s="1"/>
  <c r="I41" i="4" s="1"/>
  <c r="I42" i="4" s="1"/>
  <c r="I43" i="4" s="1"/>
  <c r="I44" i="4" s="1"/>
  <c r="I45" i="4" s="1"/>
  <c r="I46" i="4" s="1"/>
  <c r="I47" i="4" s="1"/>
  <c r="I48" i="4" s="1"/>
  <c r="I49" i="4" s="1"/>
  <c r="I50" i="4" s="1"/>
  <c r="I51" i="4" s="1"/>
  <c r="I52" i="4" s="1"/>
  <c r="I53" i="4" s="1"/>
  <c r="I54" i="4" s="1"/>
  <c r="I55" i="4" s="1"/>
  <c r="I56" i="4" s="1"/>
  <c r="I57" i="4" s="1"/>
  <c r="I58" i="4" s="1"/>
  <c r="I59" i="4" s="1"/>
  <c r="I60" i="4" s="1"/>
  <c r="I61" i="4" s="1"/>
  <c r="I62" i="4" s="1"/>
  <c r="I63" i="4" s="1"/>
  <c r="I64" i="4" s="1"/>
  <c r="I65" i="4" s="1"/>
  <c r="I66" i="4" s="1"/>
  <c r="I67" i="4" s="1"/>
  <c r="I68" i="4" s="1"/>
  <c r="I69" i="4" s="1"/>
  <c r="I70" i="4" s="1"/>
  <c r="I71" i="4" s="1"/>
  <c r="I72" i="4" s="1"/>
  <c r="I73" i="4" s="1"/>
  <c r="I74" i="4" s="1"/>
  <c r="I75" i="4" s="1"/>
  <c r="I76" i="4" s="1"/>
  <c r="I77" i="4" s="1"/>
  <c r="I78" i="4" s="1"/>
  <c r="I79" i="4" s="1"/>
  <c r="I80" i="4" s="1"/>
  <c r="I81" i="4" s="1"/>
  <c r="I82" i="4" s="1"/>
  <c r="I83" i="4" s="1"/>
  <c r="I84" i="4" s="1"/>
  <c r="I85" i="4" s="1"/>
  <c r="I86" i="4" s="1"/>
  <c r="I87" i="4" s="1"/>
  <c r="I88" i="4" s="1"/>
  <c r="I89" i="4" s="1"/>
  <c r="I90" i="4" s="1"/>
  <c r="I91" i="4" s="1"/>
  <c r="I92" i="4" s="1"/>
  <c r="I93" i="4" s="1"/>
  <c r="I94" i="4" s="1"/>
  <c r="I95" i="4" s="1"/>
  <c r="I96" i="4" s="1"/>
  <c r="I97" i="4" s="1"/>
  <c r="I98" i="4" s="1"/>
  <c r="I99" i="4" s="1"/>
  <c r="I100" i="4" s="1"/>
  <c r="I101" i="4" s="1"/>
  <c r="I102" i="4" s="1"/>
  <c r="I103" i="4" s="1"/>
  <c r="I104" i="4" s="1"/>
  <c r="I105" i="4" s="1"/>
  <c r="I106" i="4" s="1"/>
  <c r="I107" i="4" s="1"/>
  <c r="I108" i="4" s="1"/>
  <c r="I109" i="4" s="1"/>
  <c r="I110" i="4" s="1"/>
  <c r="I111" i="4" s="1"/>
  <c r="I112" i="4" s="1"/>
  <c r="I113" i="4" s="1"/>
  <c r="I114" i="4" s="1"/>
  <c r="I115" i="4" s="1"/>
  <c r="I116" i="4" s="1"/>
  <c r="I117" i="4" s="1"/>
  <c r="I118" i="4" s="1"/>
  <c r="I119" i="4" s="1"/>
  <c r="I120" i="4" s="1"/>
  <c r="I121" i="4" s="1"/>
  <c r="I122" i="4" s="1"/>
  <c r="I123" i="4" s="1"/>
  <c r="I124" i="4" s="1"/>
  <c r="I125" i="4" s="1"/>
  <c r="I126" i="4" s="1"/>
  <c r="I127" i="4" s="1"/>
  <c r="I128" i="4" s="1"/>
  <c r="I129" i="4" s="1"/>
  <c r="I130" i="4" s="1"/>
  <c r="I131" i="4" s="1"/>
  <c r="I132" i="4" s="1"/>
  <c r="I133" i="4" s="1"/>
  <c r="I134" i="4" s="1"/>
  <c r="I135" i="4" s="1"/>
  <c r="I136" i="4" s="1"/>
  <c r="I137" i="4" s="1"/>
  <c r="I138" i="4" s="1"/>
  <c r="I139" i="4" s="1"/>
  <c r="I140" i="4" s="1"/>
  <c r="I141" i="4" s="1"/>
  <c r="I142" i="4" s="1"/>
  <c r="I143" i="4" s="1"/>
  <c r="I144" i="4" s="1"/>
  <c r="I145" i="4" s="1"/>
  <c r="I146" i="4" s="1"/>
  <c r="I147" i="4" s="1"/>
  <c r="I148" i="4" s="1"/>
  <c r="I149" i="4" s="1"/>
  <c r="I150" i="4" s="1"/>
  <c r="I151" i="4" s="1"/>
  <c r="I152" i="4" s="1"/>
  <c r="I153" i="4" s="1"/>
  <c r="I154" i="4" s="1"/>
  <c r="I155" i="4" s="1"/>
  <c r="I156" i="4" s="1"/>
  <c r="I157" i="4" s="1"/>
  <c r="I158" i="4" s="1"/>
  <c r="I159" i="4" s="1"/>
  <c r="I160" i="4" s="1"/>
  <c r="I161" i="4" s="1"/>
  <c r="I162" i="4" s="1"/>
  <c r="I163" i="4" s="1"/>
  <c r="I164" i="4" s="1"/>
  <c r="I165" i="4" s="1"/>
  <c r="I166" i="4" s="1"/>
  <c r="I167" i="4" s="1"/>
  <c r="I168" i="4" s="1"/>
  <c r="I169" i="4" s="1"/>
  <c r="I170" i="4" s="1"/>
  <c r="I171" i="4" s="1"/>
  <c r="I172" i="4" s="1"/>
  <c r="I173" i="4" s="1"/>
  <c r="I174" i="4" s="1"/>
  <c r="I175" i="4" s="1"/>
  <c r="I176" i="4" s="1"/>
  <c r="I177" i="4" s="1"/>
  <c r="I178" i="4" s="1"/>
  <c r="I179" i="4" s="1"/>
  <c r="I180" i="4" s="1"/>
  <c r="I181" i="4" s="1"/>
  <c r="I182" i="4" s="1"/>
  <c r="I183" i="4" s="1"/>
  <c r="I184" i="4" s="1"/>
  <c r="I185" i="4" s="1"/>
  <c r="I186" i="4" s="1"/>
  <c r="I187" i="4" s="1"/>
  <c r="I188" i="4" s="1"/>
  <c r="I189" i="4" s="1"/>
  <c r="I190" i="4" s="1"/>
  <c r="I191" i="4" s="1"/>
  <c r="I192" i="4" s="1"/>
  <c r="I193" i="4" s="1"/>
  <c r="I194" i="4" s="1"/>
  <c r="I195" i="4" s="1"/>
  <c r="I196" i="4" s="1"/>
  <c r="I197" i="4" s="1"/>
  <c r="I198" i="4" s="1"/>
  <c r="I199" i="4" s="1"/>
  <c r="I200" i="4" s="1"/>
  <c r="I201" i="4" s="1"/>
  <c r="I202" i="4" s="1"/>
  <c r="I203" i="4" s="1"/>
  <c r="I204" i="4" s="1"/>
  <c r="I205" i="4" s="1"/>
  <c r="I206" i="4" s="1"/>
  <c r="I207" i="4" s="1"/>
  <c r="I208" i="4" s="1"/>
  <c r="I209" i="4" s="1"/>
  <c r="I210" i="4" s="1"/>
  <c r="I211" i="4" s="1"/>
  <c r="I212" i="4" s="1"/>
  <c r="I213" i="4" s="1"/>
  <c r="I214" i="4" s="1"/>
  <c r="I215" i="4" s="1"/>
  <c r="I216" i="4" s="1"/>
  <c r="I217" i="4" s="1"/>
  <c r="I218" i="4" s="1"/>
  <c r="I219" i="4" s="1"/>
  <c r="I220" i="4" s="1"/>
  <c r="I221" i="4" s="1"/>
  <c r="I222" i="4" s="1"/>
  <c r="I223" i="4" s="1"/>
  <c r="I224" i="4" s="1"/>
  <c r="I225" i="4" s="1"/>
  <c r="I226" i="4" s="1"/>
  <c r="I227" i="4" s="1"/>
  <c r="I228" i="4" s="1"/>
  <c r="I229" i="4" s="1"/>
  <c r="I230" i="4" s="1"/>
  <c r="I231" i="4" s="1"/>
  <c r="I232" i="4" s="1"/>
  <c r="I233" i="4" s="1"/>
  <c r="I234" i="4" s="1"/>
  <c r="I235" i="4" s="1"/>
  <c r="I236" i="4" s="1"/>
  <c r="I237" i="4" s="1"/>
  <c r="I238" i="4" s="1"/>
  <c r="I239" i="4" s="1"/>
  <c r="I240" i="4" s="1"/>
  <c r="I241" i="4" s="1"/>
  <c r="I242" i="4" s="1"/>
  <c r="I243" i="4" s="1"/>
  <c r="I244" i="4" s="1"/>
  <c r="I245" i="4" s="1"/>
  <c r="I246" i="4" s="1"/>
  <c r="I247" i="4" s="1"/>
  <c r="I248" i="4" s="1"/>
  <c r="I249" i="4" s="1"/>
  <c r="I250" i="4" s="1"/>
  <c r="I251" i="4" s="1"/>
  <c r="I252" i="4" s="1"/>
  <c r="I253" i="4" s="1"/>
  <c r="I254" i="4" s="1"/>
  <c r="I255" i="4" s="1"/>
  <c r="I256" i="4" s="1"/>
  <c r="I257" i="4" s="1"/>
  <c r="I258" i="4" s="1"/>
  <c r="I259" i="4" s="1"/>
  <c r="I260" i="4" s="1"/>
  <c r="I261" i="4" s="1"/>
  <c r="I262" i="4" s="1"/>
  <c r="I263" i="4" s="1"/>
  <c r="I264" i="4" s="1"/>
  <c r="I265" i="4" s="1"/>
  <c r="I266" i="4" s="1"/>
  <c r="I267" i="4" s="1"/>
  <c r="I268" i="4" s="1"/>
  <c r="I269" i="4" s="1"/>
  <c r="I270" i="4" s="1"/>
  <c r="I271" i="4" s="1"/>
  <c r="I272" i="4" s="1"/>
  <c r="I273" i="4" s="1"/>
  <c r="I274" i="4" s="1"/>
  <c r="I275" i="4" s="1"/>
  <c r="I276" i="4" s="1"/>
  <c r="I277" i="4" s="1"/>
  <c r="I278" i="4" s="1"/>
  <c r="I279" i="4" s="1"/>
  <c r="I280" i="4" s="1"/>
  <c r="I281" i="4" s="1"/>
  <c r="I282" i="4" s="1"/>
  <c r="I283" i="4" s="1"/>
  <c r="I284" i="4" s="1"/>
  <c r="I285" i="4" s="1"/>
  <c r="I286" i="4" s="1"/>
  <c r="I287" i="4" s="1"/>
  <c r="I288" i="4" s="1"/>
  <c r="I289" i="4" s="1"/>
  <c r="I290" i="4" s="1"/>
  <c r="I291" i="4" s="1"/>
  <c r="I292" i="4" s="1"/>
  <c r="I293" i="4" s="1"/>
  <c r="I294" i="4" s="1"/>
  <c r="I295" i="4" s="1"/>
  <c r="I296" i="4" s="1"/>
  <c r="I297" i="4" s="1"/>
  <c r="I298" i="4" s="1"/>
  <c r="I299" i="4" s="1"/>
  <c r="I300" i="4" s="1"/>
  <c r="I301" i="4" s="1"/>
  <c r="I302" i="4" s="1"/>
  <c r="I303" i="4" s="1"/>
  <c r="I304" i="4" s="1"/>
  <c r="I305" i="4" s="1"/>
  <c r="I306" i="4" s="1"/>
  <c r="I307" i="4" s="1"/>
  <c r="I308" i="4" s="1"/>
  <c r="I309" i="4" s="1"/>
  <c r="I310" i="4" s="1"/>
  <c r="I311" i="4" s="1"/>
  <c r="I312" i="4" s="1"/>
  <c r="I313" i="4" s="1"/>
  <c r="I314" i="4" s="1"/>
  <c r="I315" i="4" s="1"/>
  <c r="I316" i="4" s="1"/>
  <c r="I317" i="4" s="1"/>
  <c r="I318" i="4" s="1"/>
  <c r="I319" i="4" s="1"/>
  <c r="I320" i="4" s="1"/>
  <c r="I321" i="4" s="1"/>
  <c r="I322" i="4" s="1"/>
  <c r="I323" i="4" s="1"/>
  <c r="I324" i="4" s="1"/>
  <c r="I325" i="4" s="1"/>
  <c r="I326" i="4" s="1"/>
  <c r="I327" i="4" s="1"/>
  <c r="I328" i="4" s="1"/>
  <c r="I329" i="4" s="1"/>
  <c r="I330" i="4" s="1"/>
  <c r="I331" i="4" s="1"/>
  <c r="I332" i="4" s="1"/>
  <c r="I333" i="4" s="1"/>
  <c r="I334" i="4" s="1"/>
  <c r="I335" i="4" s="1"/>
  <c r="I336" i="4" s="1"/>
  <c r="I337" i="4" s="1"/>
  <c r="I338" i="4" s="1"/>
  <c r="I339" i="4" s="1"/>
  <c r="I340" i="4" s="1"/>
  <c r="I341" i="4" s="1"/>
  <c r="I342" i="4" s="1"/>
  <c r="I343" i="4" s="1"/>
  <c r="I344" i="4" s="1"/>
  <c r="I345" i="4" s="1"/>
  <c r="I346" i="4" s="1"/>
  <c r="I347" i="4" s="1"/>
  <c r="I348" i="4" s="1"/>
  <c r="I349" i="4" s="1"/>
  <c r="I350" i="4" s="1"/>
  <c r="I351" i="4" s="1"/>
  <c r="I352" i="4" s="1"/>
  <c r="I353" i="4" s="1"/>
  <c r="I354" i="4" s="1"/>
  <c r="I355" i="4" s="1"/>
  <c r="I356" i="4" s="1"/>
  <c r="I357" i="4" s="1"/>
  <c r="I358" i="4" s="1"/>
  <c r="I359" i="4" s="1"/>
  <c r="I360" i="4" s="1"/>
  <c r="I361" i="4" s="1"/>
  <c r="I362" i="4" s="1"/>
  <c r="I363" i="4" s="1"/>
  <c r="I364" i="4" s="1"/>
  <c r="I365" i="4" s="1"/>
  <c r="I366" i="4" s="1"/>
  <c r="I367" i="4" s="1"/>
  <c r="I368" i="4" s="1"/>
  <c r="I369" i="4" s="1"/>
  <c r="I370" i="4" s="1"/>
  <c r="I371" i="4" s="1"/>
  <c r="I372" i="4" s="1"/>
  <c r="I373" i="4" s="1"/>
  <c r="I374" i="4" s="1"/>
  <c r="I375" i="4" s="1"/>
  <c r="I376" i="4" s="1"/>
  <c r="I377" i="4" s="1"/>
  <c r="I378" i="4" s="1"/>
  <c r="I379" i="4" s="1"/>
  <c r="I380" i="4" s="1"/>
  <c r="I381" i="4" s="1"/>
  <c r="I382" i="4" s="1"/>
  <c r="I383" i="4" s="1"/>
  <c r="I384" i="4" s="1"/>
  <c r="I385" i="4" s="1"/>
  <c r="I386" i="4" s="1"/>
  <c r="I387" i="4" s="1"/>
  <c r="I388" i="4" s="1"/>
  <c r="I389" i="4" s="1"/>
  <c r="I390" i="4" s="1"/>
  <c r="I391" i="4" s="1"/>
  <c r="I392" i="4" s="1"/>
  <c r="I393" i="4" s="1"/>
  <c r="I394" i="4" s="1"/>
  <c r="I395" i="4" s="1"/>
  <c r="I396" i="4" s="1"/>
  <c r="I397" i="4" s="1"/>
  <c r="A27" i="4"/>
  <c r="B26" i="4"/>
  <c r="H23" i="4"/>
  <c r="C25" i="4"/>
  <c r="D24" i="4"/>
  <c r="F23" i="4"/>
  <c r="J5" i="4"/>
  <c r="J9" i="4"/>
  <c r="J7" i="4"/>
  <c r="H8" i="4"/>
  <c r="F8" i="4"/>
  <c r="F10" i="4"/>
  <c r="D25" i="4" l="1"/>
  <c r="C26" i="4"/>
  <c r="J23" i="4"/>
  <c r="H24" i="4"/>
  <c r="F24" i="4"/>
  <c r="A28" i="4"/>
  <c r="B27" i="4"/>
  <c r="J10" i="4"/>
  <c r="J8" i="4"/>
  <c r="F25" i="4" l="1"/>
  <c r="H25" i="4"/>
  <c r="J24" i="4"/>
  <c r="C27" i="4"/>
  <c r="D26" i="4"/>
  <c r="B28" i="4"/>
  <c r="A29" i="4"/>
  <c r="D27" i="4" l="1"/>
  <c r="C28" i="4"/>
  <c r="J25" i="4"/>
  <c r="H26" i="4"/>
  <c r="B29" i="4"/>
  <c r="A30" i="4"/>
  <c r="F26" i="4"/>
  <c r="B30" i="4" l="1"/>
  <c r="A31" i="4"/>
  <c r="J26" i="4"/>
  <c r="H27" i="4"/>
  <c r="F27" i="4"/>
  <c r="D28" i="4"/>
  <c r="C29" i="4"/>
  <c r="H28" i="4" l="1"/>
  <c r="F28" i="4"/>
  <c r="J27" i="4"/>
  <c r="C30" i="4"/>
  <c r="D29" i="4"/>
  <c r="B31" i="4"/>
  <c r="A32" i="4"/>
  <c r="C31" i="4" l="1"/>
  <c r="D30" i="4"/>
  <c r="J28" i="4"/>
  <c r="F29" i="4"/>
  <c r="B32" i="4"/>
  <c r="A33" i="4"/>
  <c r="H29" i="4"/>
  <c r="B33" i="4" l="1"/>
  <c r="A34" i="4"/>
  <c r="F30" i="4"/>
  <c r="J29" i="4"/>
  <c r="H30" i="4"/>
  <c r="D31" i="4"/>
  <c r="C32" i="4"/>
  <c r="H31" i="4" l="1"/>
  <c r="F31" i="4"/>
  <c r="J30" i="4"/>
  <c r="C33" i="4"/>
  <c r="D32" i="4"/>
  <c r="A35" i="4"/>
  <c r="B34" i="4"/>
  <c r="C34" i="4" l="1"/>
  <c r="D33" i="4"/>
  <c r="J31" i="4"/>
  <c r="F32" i="4"/>
  <c r="H32" i="4"/>
  <c r="A36" i="4"/>
  <c r="B35" i="4"/>
  <c r="H33" i="4" l="1"/>
  <c r="F33" i="4"/>
  <c r="J32" i="4"/>
  <c r="B36" i="4"/>
  <c r="A37" i="4"/>
  <c r="C35" i="4"/>
  <c r="D34" i="4"/>
  <c r="D35" i="4" l="1"/>
  <c r="C36" i="4"/>
  <c r="H34" i="4"/>
  <c r="B37" i="4"/>
  <c r="A38" i="4"/>
  <c r="J33" i="4"/>
  <c r="F34" i="4"/>
  <c r="J34" i="4" l="1"/>
  <c r="A39" i="4"/>
  <c r="B38" i="4"/>
  <c r="H35" i="4"/>
  <c r="F35" i="4"/>
  <c r="D36" i="4"/>
  <c r="C37" i="4"/>
  <c r="F36" i="4" l="1"/>
  <c r="H36" i="4"/>
  <c r="A40" i="4"/>
  <c r="B39" i="4"/>
  <c r="D37" i="4"/>
  <c r="C38" i="4"/>
  <c r="J35" i="4"/>
  <c r="B40" i="4" l="1"/>
  <c r="A41" i="4"/>
  <c r="H37" i="4"/>
  <c r="C39" i="4"/>
  <c r="D38" i="4"/>
  <c r="J36" i="4"/>
  <c r="F37" i="4"/>
  <c r="D39" i="4" l="1"/>
  <c r="C40" i="4"/>
  <c r="H38" i="4"/>
  <c r="F38" i="4"/>
  <c r="B41" i="4"/>
  <c r="A42" i="4"/>
  <c r="J37" i="4"/>
  <c r="F39" i="4" l="1"/>
  <c r="B42" i="4"/>
  <c r="A43" i="4"/>
  <c r="H39" i="4"/>
  <c r="J38" i="4"/>
  <c r="D40" i="4"/>
  <c r="C41" i="4"/>
  <c r="J39" i="4" l="1"/>
  <c r="H40" i="4"/>
  <c r="A44" i="4"/>
  <c r="B43" i="4"/>
  <c r="C42" i="4"/>
  <c r="D41" i="4"/>
  <c r="F40" i="4"/>
  <c r="C43" i="4" l="1"/>
  <c r="D42" i="4"/>
  <c r="B44" i="4"/>
  <c r="A45" i="4"/>
  <c r="H41" i="4"/>
  <c r="F41" i="4"/>
  <c r="J40" i="4"/>
  <c r="F42" i="4" l="1"/>
  <c r="H42" i="4"/>
  <c r="B45" i="4"/>
  <c r="A46" i="4"/>
  <c r="J41" i="4"/>
  <c r="C44" i="4"/>
  <c r="D43" i="4"/>
  <c r="J42" i="4" l="1"/>
  <c r="A47" i="4"/>
  <c r="B46" i="4"/>
  <c r="H43" i="4"/>
  <c r="F43" i="4"/>
  <c r="D44" i="4"/>
  <c r="C45" i="4"/>
  <c r="F44" i="4" l="1"/>
  <c r="H44" i="4"/>
  <c r="A48" i="4"/>
  <c r="B47" i="4"/>
  <c r="C46" i="4"/>
  <c r="D45" i="4"/>
  <c r="J43" i="4"/>
  <c r="B48" i="4" l="1"/>
  <c r="A49" i="4"/>
  <c r="H45" i="4"/>
  <c r="C47" i="4"/>
  <c r="D46" i="4"/>
  <c r="F45" i="4"/>
  <c r="J44" i="4"/>
  <c r="F46" i="4" l="1"/>
  <c r="D47" i="4"/>
  <c r="C48" i="4"/>
  <c r="H46" i="4"/>
  <c r="J45" i="4"/>
  <c r="B49" i="4"/>
  <c r="A50" i="4"/>
  <c r="H47" i="4" l="1"/>
  <c r="D48" i="4"/>
  <c r="C49" i="4"/>
  <c r="A51" i="4"/>
  <c r="B50" i="4"/>
  <c r="F47" i="4"/>
  <c r="J46" i="4"/>
  <c r="F48" i="4" l="1"/>
  <c r="A52" i="4"/>
  <c r="B51" i="4"/>
  <c r="C50" i="4"/>
  <c r="D49" i="4"/>
  <c r="J47" i="4"/>
  <c r="H48" i="4"/>
  <c r="J48" i="4" l="1"/>
  <c r="C51" i="4"/>
  <c r="D50" i="4"/>
  <c r="B52" i="4"/>
  <c r="A53" i="4"/>
  <c r="H49" i="4"/>
  <c r="F49" i="4"/>
  <c r="B53" i="4" l="1"/>
  <c r="A54" i="4"/>
  <c r="H50" i="4"/>
  <c r="D51" i="4"/>
  <c r="C52" i="4"/>
  <c r="J49" i="4"/>
  <c r="F50" i="4"/>
  <c r="J50" i="4" l="1"/>
  <c r="D52" i="4"/>
  <c r="C53" i="4"/>
  <c r="H51" i="4"/>
  <c r="F51" i="4"/>
  <c r="A55" i="4"/>
  <c r="B54" i="4"/>
  <c r="H52" i="4" l="1"/>
  <c r="F52" i="4"/>
  <c r="C54" i="4"/>
  <c r="D53" i="4"/>
  <c r="A56" i="4"/>
  <c r="B55" i="4"/>
  <c r="J51" i="4"/>
  <c r="B56" i="4" l="1"/>
  <c r="A57" i="4"/>
  <c r="D54" i="4"/>
  <c r="C55" i="4"/>
  <c r="F53" i="4"/>
  <c r="J52" i="4"/>
  <c r="H53" i="4"/>
  <c r="F54" i="4" l="1"/>
  <c r="D55" i="4"/>
  <c r="C56" i="4"/>
  <c r="J53" i="4"/>
  <c r="B57" i="4"/>
  <c r="A58" i="4"/>
  <c r="H54" i="4"/>
  <c r="A59" i="4" l="1"/>
  <c r="B58" i="4"/>
  <c r="J54" i="4"/>
  <c r="C57" i="4"/>
  <c r="D56" i="4"/>
  <c r="H55" i="4"/>
  <c r="F55" i="4"/>
  <c r="C58" i="4" l="1"/>
  <c r="D57" i="4"/>
  <c r="H56" i="4"/>
  <c r="J55" i="4"/>
  <c r="F56" i="4"/>
  <c r="A60" i="4"/>
  <c r="B59" i="4"/>
  <c r="F57" i="4" l="1"/>
  <c r="J56" i="4"/>
  <c r="H57" i="4"/>
  <c r="B60" i="4"/>
  <c r="A61" i="4"/>
  <c r="C59" i="4"/>
  <c r="D58" i="4"/>
  <c r="B61" i="4" l="1"/>
  <c r="A62" i="4"/>
  <c r="H58" i="4"/>
  <c r="J57" i="4"/>
  <c r="F58" i="4"/>
  <c r="D59" i="4"/>
  <c r="C60" i="4"/>
  <c r="J58" i="4" l="1"/>
  <c r="H59" i="4"/>
  <c r="F59" i="4"/>
  <c r="D60" i="4"/>
  <c r="C61" i="4"/>
  <c r="B62" i="4"/>
  <c r="A63" i="4"/>
  <c r="F60" i="4" l="1"/>
  <c r="C62" i="4"/>
  <c r="D61" i="4"/>
  <c r="H60" i="4"/>
  <c r="A64" i="4"/>
  <c r="B63" i="4"/>
  <c r="J59" i="4"/>
  <c r="B64" i="4" l="1"/>
  <c r="A65" i="4"/>
  <c r="H61" i="4"/>
  <c r="C63" i="4"/>
  <c r="D62" i="4"/>
  <c r="F61" i="4"/>
  <c r="J60" i="4"/>
  <c r="F62" i="4" l="1"/>
  <c r="D63" i="4"/>
  <c r="C64" i="4"/>
  <c r="H62" i="4"/>
  <c r="J61" i="4"/>
  <c r="B65" i="4"/>
  <c r="A66" i="4"/>
  <c r="J62" i="4" l="1"/>
  <c r="H63" i="4"/>
  <c r="C65" i="4"/>
  <c r="D64" i="4"/>
  <c r="A67" i="4"/>
  <c r="B66" i="4"/>
  <c r="F63" i="4"/>
  <c r="A68" i="4" l="1"/>
  <c r="B67" i="4"/>
  <c r="C66" i="4"/>
  <c r="D65" i="4"/>
  <c r="H64" i="4"/>
  <c r="F64" i="4"/>
  <c r="J63" i="4"/>
  <c r="F65" i="4" l="1"/>
  <c r="H65" i="4"/>
  <c r="C67" i="4"/>
  <c r="D66" i="4"/>
  <c r="J64" i="4"/>
  <c r="B68" i="4"/>
  <c r="A69" i="4"/>
  <c r="J65" i="4" l="1"/>
  <c r="D67" i="4"/>
  <c r="C68" i="4"/>
  <c r="H66" i="4"/>
  <c r="B69" i="4"/>
  <c r="A70" i="4"/>
  <c r="F66" i="4"/>
  <c r="H67" i="4" l="1"/>
  <c r="D68" i="4"/>
  <c r="C69" i="4"/>
  <c r="F67" i="4"/>
  <c r="J66" i="4"/>
  <c r="A71" i="4"/>
  <c r="B70" i="4"/>
  <c r="J67" i="4" l="1"/>
  <c r="F68" i="4"/>
  <c r="D69" i="4"/>
  <c r="C70" i="4"/>
  <c r="A72" i="4"/>
  <c r="B71" i="4"/>
  <c r="H68" i="4"/>
  <c r="B72" i="4" l="1"/>
  <c r="A73" i="4"/>
  <c r="F69" i="4"/>
  <c r="D70" i="4"/>
  <c r="C71" i="4"/>
  <c r="H69" i="4"/>
  <c r="J68" i="4"/>
  <c r="D71" i="4" l="1"/>
  <c r="C72" i="4"/>
  <c r="H70" i="4"/>
  <c r="F70" i="4"/>
  <c r="J69" i="4"/>
  <c r="A74" i="4"/>
  <c r="B73" i="4"/>
  <c r="J70" i="4" l="1"/>
  <c r="F71" i="4"/>
  <c r="H71" i="4"/>
  <c r="D72" i="4"/>
  <c r="C73" i="4"/>
  <c r="B74" i="4"/>
  <c r="A75" i="4"/>
  <c r="H72" i="4" l="1"/>
  <c r="F72" i="4"/>
  <c r="D73" i="4"/>
  <c r="C74" i="4"/>
  <c r="A76" i="4"/>
  <c r="B75" i="4"/>
  <c r="J71" i="4"/>
  <c r="A77" i="4" l="1"/>
  <c r="B76" i="4"/>
  <c r="D74" i="4"/>
  <c r="C75" i="4"/>
  <c r="F73" i="4"/>
  <c r="J72" i="4"/>
  <c r="H73" i="4"/>
  <c r="F74" i="4" l="1"/>
  <c r="C76" i="4"/>
  <c r="D75" i="4"/>
  <c r="J73" i="4"/>
  <c r="H74" i="4"/>
  <c r="B77" i="4"/>
  <c r="A78" i="4"/>
  <c r="H75" i="4" l="1"/>
  <c r="J74" i="4"/>
  <c r="C77" i="4"/>
  <c r="D76" i="4"/>
  <c r="B78" i="4"/>
  <c r="A79" i="4"/>
  <c r="F75" i="4"/>
  <c r="C78" i="4" l="1"/>
  <c r="D77" i="4"/>
  <c r="J75" i="4"/>
  <c r="H76" i="4"/>
  <c r="A80" i="4"/>
  <c r="B79" i="4"/>
  <c r="F76" i="4"/>
  <c r="B80" i="4" l="1"/>
  <c r="A81" i="4"/>
  <c r="J76" i="4"/>
  <c r="H77" i="4"/>
  <c r="F77" i="4"/>
  <c r="D78" i="4"/>
  <c r="C79" i="4"/>
  <c r="F78" i="4" l="1"/>
  <c r="H78" i="4"/>
  <c r="J77" i="4"/>
  <c r="D79" i="4"/>
  <c r="C80" i="4"/>
  <c r="B81" i="4"/>
  <c r="A82" i="4"/>
  <c r="C81" i="4" l="1"/>
  <c r="D80" i="4"/>
  <c r="J78" i="4"/>
  <c r="H79" i="4"/>
  <c r="A83" i="4"/>
  <c r="B82" i="4"/>
  <c r="F79" i="4"/>
  <c r="H80" i="4" l="1"/>
  <c r="J79" i="4"/>
  <c r="F80" i="4"/>
  <c r="A84" i="4"/>
  <c r="B83" i="4"/>
  <c r="D81" i="4"/>
  <c r="C82" i="4"/>
  <c r="F81" i="4" l="1"/>
  <c r="J80" i="4"/>
  <c r="C83" i="4"/>
  <c r="D82" i="4"/>
  <c r="B84" i="4"/>
  <c r="A85" i="4"/>
  <c r="H81" i="4"/>
  <c r="C84" i="4" l="1"/>
  <c r="D83" i="4"/>
  <c r="J81" i="4"/>
  <c r="A86" i="4"/>
  <c r="B85" i="4"/>
  <c r="F82" i="4"/>
  <c r="H82" i="4"/>
  <c r="A87" i="4" l="1"/>
  <c r="B86" i="4"/>
  <c r="J82" i="4"/>
  <c r="F83" i="4"/>
  <c r="H83" i="4"/>
  <c r="D84" i="4"/>
  <c r="C85" i="4"/>
  <c r="H84" i="4" l="1"/>
  <c r="F84" i="4"/>
  <c r="J83" i="4"/>
  <c r="D85" i="4"/>
  <c r="C86" i="4"/>
  <c r="A88" i="4"/>
  <c r="B87" i="4"/>
  <c r="F85" i="4" l="1"/>
  <c r="D86" i="4"/>
  <c r="C87" i="4"/>
  <c r="J84" i="4"/>
  <c r="H85" i="4"/>
  <c r="B88" i="4"/>
  <c r="A89" i="4"/>
  <c r="H86" i="4" l="1"/>
  <c r="D87" i="4"/>
  <c r="C88" i="4"/>
  <c r="J85" i="4"/>
  <c r="A90" i="4"/>
  <c r="B89" i="4"/>
  <c r="F86" i="4"/>
  <c r="B90" i="4" l="1"/>
  <c r="A91" i="4"/>
  <c r="J86" i="4"/>
  <c r="C89" i="4"/>
  <c r="D88" i="4"/>
  <c r="F87" i="4"/>
  <c r="H87" i="4"/>
  <c r="C90" i="4" l="1"/>
  <c r="D89" i="4"/>
  <c r="F88" i="4"/>
  <c r="J87" i="4"/>
  <c r="B91" i="4"/>
  <c r="A92" i="4"/>
  <c r="H88" i="4"/>
  <c r="A93" i="4" l="1"/>
  <c r="B92" i="4"/>
  <c r="J88" i="4"/>
  <c r="F89" i="4"/>
  <c r="H89" i="4"/>
  <c r="C91" i="4"/>
  <c r="D90" i="4"/>
  <c r="H90" i="4" l="1"/>
  <c r="F90" i="4"/>
  <c r="J89" i="4"/>
  <c r="D91" i="4"/>
  <c r="C92" i="4"/>
  <c r="A94" i="4"/>
  <c r="B93" i="4"/>
  <c r="C93" i="4" l="1"/>
  <c r="D92" i="4"/>
  <c r="J90" i="4"/>
  <c r="F91" i="4"/>
  <c r="A95" i="4"/>
  <c r="B94" i="4"/>
  <c r="H91" i="4"/>
  <c r="A96" i="4" l="1"/>
  <c r="B95" i="4"/>
  <c r="F92" i="4"/>
  <c r="J91" i="4"/>
  <c r="H92" i="4"/>
  <c r="C94" i="4"/>
  <c r="D93" i="4"/>
  <c r="H93" i="4" l="1"/>
  <c r="J92" i="4"/>
  <c r="F93" i="4"/>
  <c r="C95" i="4"/>
  <c r="D94" i="4"/>
  <c r="B96" i="4"/>
  <c r="A97" i="4"/>
  <c r="C96" i="4" l="1"/>
  <c r="D95" i="4"/>
  <c r="F94" i="4"/>
  <c r="J93" i="4"/>
  <c r="B97" i="4"/>
  <c r="A98" i="4"/>
  <c r="H94" i="4"/>
  <c r="J94" i="4" l="1"/>
  <c r="A99" i="4"/>
  <c r="B98" i="4"/>
  <c r="F95" i="4"/>
  <c r="H95" i="4"/>
  <c r="C97" i="4"/>
  <c r="D96" i="4"/>
  <c r="H96" i="4" l="1"/>
  <c r="F96" i="4"/>
  <c r="A100" i="4"/>
  <c r="B99" i="4"/>
  <c r="J95" i="4"/>
  <c r="D97" i="4"/>
  <c r="C98" i="4"/>
  <c r="J96" i="4" l="1"/>
  <c r="B100" i="4"/>
  <c r="A101" i="4"/>
  <c r="F97" i="4"/>
  <c r="D98" i="4"/>
  <c r="C99" i="4"/>
  <c r="H97" i="4"/>
  <c r="F98" i="4" l="1"/>
  <c r="B101" i="4"/>
  <c r="A102" i="4"/>
  <c r="C100" i="4"/>
  <c r="D99" i="4"/>
  <c r="H98" i="4"/>
  <c r="J97" i="4"/>
  <c r="H99" i="4" l="1"/>
  <c r="D100" i="4"/>
  <c r="C101" i="4"/>
  <c r="A103" i="4"/>
  <c r="B102" i="4"/>
  <c r="J98" i="4"/>
  <c r="F99" i="4"/>
  <c r="J99" i="4" l="1"/>
  <c r="A104" i="4"/>
  <c r="B103" i="4"/>
  <c r="D101" i="4"/>
  <c r="C102" i="4"/>
  <c r="F100" i="4"/>
  <c r="H100" i="4"/>
  <c r="F101" i="4" l="1"/>
  <c r="D102" i="4"/>
  <c r="C103" i="4"/>
  <c r="B104" i="4"/>
  <c r="A105" i="4"/>
  <c r="J100" i="4"/>
  <c r="H101" i="4"/>
  <c r="B105" i="4" l="1"/>
  <c r="A106" i="4"/>
  <c r="J101" i="4"/>
  <c r="D103" i="4"/>
  <c r="C104" i="4"/>
  <c r="H102" i="4"/>
  <c r="F102" i="4"/>
  <c r="H103" i="4" l="1"/>
  <c r="C105" i="4"/>
  <c r="D104" i="4"/>
  <c r="J102" i="4"/>
  <c r="B106" i="4"/>
  <c r="A107" i="4"/>
  <c r="F103" i="4"/>
  <c r="J103" i="4" l="1"/>
  <c r="B107" i="4"/>
  <c r="A108" i="4"/>
  <c r="C106" i="4"/>
  <c r="D105" i="4"/>
  <c r="F104" i="4"/>
  <c r="H104" i="4"/>
  <c r="F105" i="4" l="1"/>
  <c r="D106" i="4"/>
  <c r="C107" i="4"/>
  <c r="A109" i="4"/>
  <c r="B108" i="4"/>
  <c r="J104" i="4"/>
  <c r="H105" i="4"/>
  <c r="J105" i="4" l="1"/>
  <c r="A110" i="4"/>
  <c r="B109" i="4"/>
  <c r="D107" i="4"/>
  <c r="C108" i="4"/>
  <c r="F106" i="4"/>
  <c r="H106" i="4"/>
  <c r="F107" i="4" l="1"/>
  <c r="D108" i="4"/>
  <c r="C109" i="4"/>
  <c r="B110" i="4"/>
  <c r="A111" i="4"/>
  <c r="J106" i="4"/>
  <c r="H107" i="4"/>
  <c r="B111" i="4" l="1"/>
  <c r="A112" i="4"/>
  <c r="C110" i="4"/>
  <c r="D109" i="4"/>
  <c r="J107" i="4"/>
  <c r="H108" i="4"/>
  <c r="F108" i="4"/>
  <c r="H109" i="4" l="1"/>
  <c r="J108" i="4"/>
  <c r="C111" i="4"/>
  <c r="D110" i="4"/>
  <c r="F109" i="4"/>
  <c r="A113" i="4"/>
  <c r="B112" i="4"/>
  <c r="D111" i="4" l="1"/>
  <c r="C112" i="4"/>
  <c r="J109" i="4"/>
  <c r="F110" i="4"/>
  <c r="A114" i="4"/>
  <c r="B113" i="4"/>
  <c r="H110" i="4"/>
  <c r="B114" i="4" l="1"/>
  <c r="A115" i="4"/>
  <c r="F111" i="4"/>
  <c r="J110" i="4"/>
  <c r="C113" i="4"/>
  <c r="D112" i="4"/>
  <c r="H111" i="4"/>
  <c r="C114" i="4" l="1"/>
  <c r="D113" i="4"/>
  <c r="J111" i="4"/>
  <c r="F112" i="4"/>
  <c r="A116" i="4"/>
  <c r="B115" i="4"/>
  <c r="H112" i="4"/>
  <c r="B116" i="4" l="1"/>
  <c r="A117" i="4"/>
  <c r="F113" i="4"/>
  <c r="J112" i="4"/>
  <c r="H113" i="4"/>
  <c r="D114" i="4"/>
  <c r="C115" i="4"/>
  <c r="H114" i="4" l="1"/>
  <c r="J113" i="4"/>
  <c r="F114" i="4"/>
  <c r="C116" i="4"/>
  <c r="D115" i="4"/>
  <c r="B117" i="4"/>
  <c r="A118" i="4"/>
  <c r="C117" i="4" l="1"/>
  <c r="D116" i="4"/>
  <c r="F115" i="4"/>
  <c r="J114" i="4"/>
  <c r="B118" i="4"/>
  <c r="A119" i="4"/>
  <c r="H115" i="4"/>
  <c r="B119" i="4" l="1"/>
  <c r="A120" i="4"/>
  <c r="J115" i="4"/>
  <c r="F116" i="4"/>
  <c r="H116" i="4"/>
  <c r="C118" i="4"/>
  <c r="D117" i="4"/>
  <c r="H117" i="4" l="1"/>
  <c r="F117" i="4"/>
  <c r="J116" i="4"/>
  <c r="A121" i="4"/>
  <c r="B120" i="4"/>
  <c r="D118" i="4"/>
  <c r="C119" i="4"/>
  <c r="B121" i="4" l="1"/>
  <c r="A122" i="4"/>
  <c r="J117" i="4"/>
  <c r="F118" i="4"/>
  <c r="C120" i="4"/>
  <c r="D119" i="4"/>
  <c r="H118" i="4"/>
  <c r="C121" i="4" l="1"/>
  <c r="D120" i="4"/>
  <c r="F119" i="4"/>
  <c r="J118" i="4"/>
  <c r="H119" i="4"/>
  <c r="A123" i="4"/>
  <c r="B122" i="4"/>
  <c r="H120" i="4" l="1"/>
  <c r="J119" i="4"/>
  <c r="F120" i="4"/>
  <c r="B123" i="4"/>
  <c r="A124" i="4"/>
  <c r="D121" i="4"/>
  <c r="C122" i="4"/>
  <c r="F121" i="4" l="1"/>
  <c r="A125" i="4"/>
  <c r="B124" i="4"/>
  <c r="J120" i="4"/>
  <c r="C123" i="4"/>
  <c r="D122" i="4"/>
  <c r="H121" i="4"/>
  <c r="D123" i="4" l="1"/>
  <c r="C124" i="4"/>
  <c r="J121" i="4"/>
  <c r="B125" i="4"/>
  <c r="A126" i="4"/>
  <c r="H122" i="4"/>
  <c r="F122" i="4"/>
  <c r="H123" i="4" l="1"/>
  <c r="B126" i="4"/>
  <c r="A127" i="4"/>
  <c r="J122" i="4"/>
  <c r="D124" i="4"/>
  <c r="C125" i="4"/>
  <c r="F123" i="4"/>
  <c r="J123" i="4" l="1"/>
  <c r="B127" i="4"/>
  <c r="A128" i="4"/>
  <c r="D125" i="4"/>
  <c r="C126" i="4"/>
  <c r="F124" i="4"/>
  <c r="H124" i="4"/>
  <c r="C127" i="4" l="1"/>
  <c r="D126" i="4"/>
  <c r="A129" i="4"/>
  <c r="B128" i="4"/>
  <c r="F125" i="4"/>
  <c r="H125" i="4"/>
  <c r="J124" i="4"/>
  <c r="F126" i="4" l="1"/>
  <c r="H126" i="4"/>
  <c r="B129" i="4"/>
  <c r="A130" i="4"/>
  <c r="J125" i="4"/>
  <c r="D127" i="4"/>
  <c r="C128" i="4"/>
  <c r="J126" i="4" l="1"/>
  <c r="B130" i="4"/>
  <c r="A131" i="4"/>
  <c r="H127" i="4"/>
  <c r="D128" i="4"/>
  <c r="C129" i="4"/>
  <c r="F127" i="4"/>
  <c r="H128" i="4" l="1"/>
  <c r="D129" i="4"/>
  <c r="C130" i="4"/>
  <c r="A132" i="4"/>
  <c r="B131" i="4"/>
  <c r="J127" i="4"/>
  <c r="F128" i="4"/>
  <c r="A133" i="4" l="1"/>
  <c r="B132" i="4"/>
  <c r="C131" i="4"/>
  <c r="D130" i="4"/>
  <c r="J128" i="4"/>
  <c r="F129" i="4"/>
  <c r="H129" i="4"/>
  <c r="F130" i="4" l="1"/>
  <c r="J129" i="4"/>
  <c r="D131" i="4"/>
  <c r="C132" i="4"/>
  <c r="H130" i="4"/>
  <c r="B133" i="4"/>
  <c r="A134" i="4"/>
  <c r="H131" i="4" l="1"/>
  <c r="C133" i="4"/>
  <c r="D132" i="4"/>
  <c r="J130" i="4"/>
  <c r="B134" i="4"/>
  <c r="A135" i="4"/>
  <c r="F131" i="4"/>
  <c r="B135" i="4" l="1"/>
  <c r="A136" i="4"/>
  <c r="J131" i="4"/>
  <c r="D133" i="4"/>
  <c r="C134" i="4"/>
  <c r="F132" i="4"/>
  <c r="H132" i="4"/>
  <c r="F133" i="4" l="1"/>
  <c r="C135" i="4"/>
  <c r="D134" i="4"/>
  <c r="J132" i="4"/>
  <c r="B136" i="4"/>
  <c r="A137" i="4"/>
  <c r="H133" i="4"/>
  <c r="J133" i="4" l="1"/>
  <c r="D135" i="4"/>
  <c r="C136" i="4"/>
  <c r="F134" i="4"/>
  <c r="B137" i="4"/>
  <c r="A138" i="4"/>
  <c r="H134" i="4"/>
  <c r="F135" i="4" l="1"/>
  <c r="D136" i="4"/>
  <c r="C137" i="4"/>
  <c r="B138" i="4"/>
  <c r="A139" i="4"/>
  <c r="H135" i="4"/>
  <c r="J134" i="4"/>
  <c r="H136" i="4" l="1"/>
  <c r="C138" i="4"/>
  <c r="D137" i="4"/>
  <c r="A140" i="4"/>
  <c r="B139" i="4"/>
  <c r="J135" i="4"/>
  <c r="F136" i="4"/>
  <c r="F137" i="4" l="1"/>
  <c r="J136" i="4"/>
  <c r="H137" i="4"/>
  <c r="A141" i="4"/>
  <c r="B140" i="4"/>
  <c r="C139" i="4"/>
  <c r="D138" i="4"/>
  <c r="B141" i="4" l="1"/>
  <c r="A142" i="4"/>
  <c r="J137" i="4"/>
  <c r="H138" i="4"/>
  <c r="C140" i="4"/>
  <c r="D139" i="4"/>
  <c r="F138" i="4"/>
  <c r="C141" i="4" l="1"/>
  <c r="D140" i="4"/>
  <c r="H139" i="4"/>
  <c r="J138" i="4"/>
  <c r="B142" i="4"/>
  <c r="A143" i="4"/>
  <c r="F139" i="4"/>
  <c r="J139" i="4" l="1"/>
  <c r="H140" i="4"/>
  <c r="A144" i="4"/>
  <c r="B143" i="4"/>
  <c r="F140" i="4"/>
  <c r="C142" i="4"/>
  <c r="D141" i="4"/>
  <c r="F141" i="4" l="1"/>
  <c r="B144" i="4"/>
  <c r="A145" i="4"/>
  <c r="H141" i="4"/>
  <c r="D142" i="4"/>
  <c r="C143" i="4"/>
  <c r="J140" i="4"/>
  <c r="C144" i="4" l="1"/>
  <c r="D143" i="4"/>
  <c r="H142" i="4"/>
  <c r="A146" i="4"/>
  <c r="B145" i="4"/>
  <c r="J141" i="4"/>
  <c r="F142" i="4"/>
  <c r="J142" i="4" l="1"/>
  <c r="A147" i="4"/>
  <c r="B146" i="4"/>
  <c r="H143" i="4"/>
  <c r="F143" i="4"/>
  <c r="C145" i="4"/>
  <c r="D144" i="4"/>
  <c r="F144" i="4" l="1"/>
  <c r="H144" i="4"/>
  <c r="B147" i="4"/>
  <c r="A148" i="4"/>
  <c r="C146" i="4"/>
  <c r="D145" i="4"/>
  <c r="J143" i="4"/>
  <c r="D146" i="4" l="1"/>
  <c r="C147" i="4"/>
  <c r="A149" i="4"/>
  <c r="B148" i="4"/>
  <c r="H145" i="4"/>
  <c r="J144" i="4"/>
  <c r="F145" i="4"/>
  <c r="J145" i="4" l="1"/>
  <c r="H146" i="4"/>
  <c r="B149" i="4"/>
  <c r="A150" i="4"/>
  <c r="D147" i="4"/>
  <c r="C148" i="4"/>
  <c r="F146" i="4"/>
  <c r="C149" i="4" l="1"/>
  <c r="D148" i="4"/>
  <c r="B150" i="4"/>
  <c r="A151" i="4"/>
  <c r="H147" i="4"/>
  <c r="F147" i="4"/>
  <c r="J146" i="4"/>
  <c r="F148" i="4" l="1"/>
  <c r="H148" i="4"/>
  <c r="B151" i="4"/>
  <c r="A152" i="4"/>
  <c r="J147" i="4"/>
  <c r="D149" i="4"/>
  <c r="C150" i="4"/>
  <c r="J148" i="4" l="1"/>
  <c r="B152" i="4"/>
  <c r="A153" i="4"/>
  <c r="H149" i="4"/>
  <c r="C151" i="4"/>
  <c r="D150" i="4"/>
  <c r="F149" i="4"/>
  <c r="C152" i="4" l="1"/>
  <c r="D151" i="4"/>
  <c r="H150" i="4"/>
  <c r="B153" i="4"/>
  <c r="A154" i="4"/>
  <c r="J149" i="4"/>
  <c r="F150" i="4"/>
  <c r="J150" i="4" l="1"/>
  <c r="A155" i="4"/>
  <c r="B154" i="4"/>
  <c r="H151" i="4"/>
  <c r="F151" i="4"/>
  <c r="C153" i="4"/>
  <c r="D152" i="4"/>
  <c r="F152" i="4" l="1"/>
  <c r="H152" i="4"/>
  <c r="B155" i="4"/>
  <c r="A156" i="4"/>
  <c r="J151" i="4"/>
  <c r="D153" i="4"/>
  <c r="C154" i="4"/>
  <c r="J152" i="4" l="1"/>
  <c r="B156" i="4"/>
  <c r="A157" i="4"/>
  <c r="H153" i="4"/>
  <c r="C155" i="4"/>
  <c r="D154" i="4"/>
  <c r="F153" i="4"/>
  <c r="D155" i="4" l="1"/>
  <c r="C156" i="4"/>
  <c r="H154" i="4"/>
  <c r="B157" i="4"/>
  <c r="A158" i="4"/>
  <c r="J153" i="4"/>
  <c r="F154" i="4"/>
  <c r="J154" i="4" l="1"/>
  <c r="B158" i="4"/>
  <c r="A159" i="4"/>
  <c r="H155" i="4"/>
  <c r="C157" i="4"/>
  <c r="D156" i="4"/>
  <c r="F155" i="4"/>
  <c r="C158" i="4" l="1"/>
  <c r="D157" i="4"/>
  <c r="H156" i="4"/>
  <c r="B159" i="4"/>
  <c r="A160" i="4"/>
  <c r="F156" i="4"/>
  <c r="J155" i="4"/>
  <c r="F157" i="4" l="1"/>
  <c r="B160" i="4"/>
  <c r="A161" i="4"/>
  <c r="H157" i="4"/>
  <c r="J156" i="4"/>
  <c r="C159" i="4"/>
  <c r="D158" i="4"/>
  <c r="J157" i="4" l="1"/>
  <c r="H158" i="4"/>
  <c r="A162" i="4"/>
  <c r="B161" i="4"/>
  <c r="C160" i="4"/>
  <c r="D159" i="4"/>
  <c r="F158" i="4"/>
  <c r="C161" i="4" l="1"/>
  <c r="D160" i="4"/>
  <c r="A163" i="4"/>
  <c r="B162" i="4"/>
  <c r="H159" i="4"/>
  <c r="J158" i="4"/>
  <c r="F159" i="4"/>
  <c r="J159" i="4" l="1"/>
  <c r="H160" i="4"/>
  <c r="B163" i="4"/>
  <c r="A164" i="4"/>
  <c r="F160" i="4"/>
  <c r="C162" i="4"/>
  <c r="D161" i="4"/>
  <c r="F161" i="4" l="1"/>
  <c r="B164" i="4"/>
  <c r="A165" i="4"/>
  <c r="H161" i="4"/>
  <c r="C163" i="4"/>
  <c r="D162" i="4"/>
  <c r="J160" i="4"/>
  <c r="D163" i="4" l="1"/>
  <c r="C164" i="4"/>
  <c r="H162" i="4"/>
  <c r="B165" i="4"/>
  <c r="A166" i="4"/>
  <c r="J161" i="4"/>
  <c r="F162" i="4"/>
  <c r="J162" i="4" l="1"/>
  <c r="B166" i="4"/>
  <c r="A167" i="4"/>
  <c r="H163" i="4"/>
  <c r="C165" i="4"/>
  <c r="D164" i="4"/>
  <c r="F163" i="4"/>
  <c r="D165" i="4" l="1"/>
  <c r="C166" i="4"/>
  <c r="H164" i="4"/>
  <c r="A168" i="4"/>
  <c r="B167" i="4"/>
  <c r="J163" i="4"/>
  <c r="F164" i="4"/>
  <c r="J164" i="4" l="1"/>
  <c r="A169" i="4"/>
  <c r="B168" i="4"/>
  <c r="H165" i="4"/>
  <c r="D166" i="4"/>
  <c r="C167" i="4"/>
  <c r="F165" i="4"/>
  <c r="D167" i="4" l="1"/>
  <c r="C168" i="4"/>
  <c r="H166" i="4"/>
  <c r="B169" i="4"/>
  <c r="A170" i="4"/>
  <c r="F166" i="4"/>
  <c r="J165" i="4"/>
  <c r="F167" i="4" l="1"/>
  <c r="B170" i="4"/>
  <c r="A171" i="4"/>
  <c r="H167" i="4"/>
  <c r="D168" i="4"/>
  <c r="C169" i="4"/>
  <c r="J166" i="4"/>
  <c r="D169" i="4" l="1"/>
  <c r="C170" i="4"/>
  <c r="H168" i="4"/>
  <c r="A172" i="4"/>
  <c r="B171" i="4"/>
  <c r="J167" i="4"/>
  <c r="F168" i="4"/>
  <c r="J168" i="4" l="1"/>
  <c r="B172" i="4"/>
  <c r="A173" i="4"/>
  <c r="H169" i="4"/>
  <c r="D170" i="4"/>
  <c r="C171" i="4"/>
  <c r="F169" i="4"/>
  <c r="C172" i="4" l="1"/>
  <c r="D171" i="4"/>
  <c r="H170" i="4"/>
  <c r="A174" i="4"/>
  <c r="B173" i="4"/>
  <c r="J169" i="4"/>
  <c r="F170" i="4"/>
  <c r="J170" i="4" l="1"/>
  <c r="A175" i="4"/>
  <c r="B174" i="4"/>
  <c r="H171" i="4"/>
  <c r="F171" i="4"/>
  <c r="C173" i="4"/>
  <c r="D172" i="4"/>
  <c r="F172" i="4" l="1"/>
  <c r="H172" i="4"/>
  <c r="B175" i="4"/>
  <c r="A176" i="4"/>
  <c r="C174" i="4"/>
  <c r="D173" i="4"/>
  <c r="J171" i="4"/>
  <c r="C175" i="4" l="1"/>
  <c r="D174" i="4"/>
  <c r="B176" i="4"/>
  <c r="A177" i="4"/>
  <c r="H173" i="4"/>
  <c r="J172" i="4"/>
  <c r="F173" i="4"/>
  <c r="J173" i="4" l="1"/>
  <c r="H174" i="4"/>
  <c r="B177" i="4"/>
  <c r="A178" i="4"/>
  <c r="F174" i="4"/>
  <c r="D175" i="4"/>
  <c r="C176" i="4"/>
  <c r="F175" i="4" l="1"/>
  <c r="B178" i="4"/>
  <c r="A179" i="4"/>
  <c r="H175" i="4"/>
  <c r="C177" i="4"/>
  <c r="D176" i="4"/>
  <c r="J174" i="4"/>
  <c r="C178" i="4" l="1"/>
  <c r="D177" i="4"/>
  <c r="H176" i="4"/>
  <c r="B179" i="4"/>
  <c r="A180" i="4"/>
  <c r="J175" i="4"/>
  <c r="F176" i="4"/>
  <c r="J176" i="4" l="1"/>
  <c r="B180" i="4"/>
  <c r="A181" i="4"/>
  <c r="H177" i="4"/>
  <c r="F177" i="4"/>
  <c r="C179" i="4"/>
  <c r="D178" i="4"/>
  <c r="F178" i="4" l="1"/>
  <c r="H178" i="4"/>
  <c r="B181" i="4"/>
  <c r="A182" i="4"/>
  <c r="D179" i="4"/>
  <c r="C180" i="4"/>
  <c r="J177" i="4"/>
  <c r="D180" i="4" l="1"/>
  <c r="C181" i="4"/>
  <c r="A183" i="4"/>
  <c r="B182" i="4"/>
  <c r="H179" i="4"/>
  <c r="J178" i="4"/>
  <c r="F179" i="4"/>
  <c r="J179" i="4" l="1"/>
  <c r="H180" i="4"/>
  <c r="A184" i="4"/>
  <c r="B183" i="4"/>
  <c r="F180" i="4"/>
  <c r="D181" i="4"/>
  <c r="C182" i="4"/>
  <c r="F181" i="4" l="1"/>
  <c r="B184" i="4"/>
  <c r="A185" i="4"/>
  <c r="H181" i="4"/>
  <c r="D182" i="4"/>
  <c r="C183" i="4"/>
  <c r="J180" i="4"/>
  <c r="C184" i="4" l="1"/>
  <c r="D183" i="4"/>
  <c r="H182" i="4"/>
  <c r="B185" i="4"/>
  <c r="A186" i="4"/>
  <c r="F182" i="4"/>
  <c r="J181" i="4"/>
  <c r="F183" i="4" l="1"/>
  <c r="B186" i="4"/>
  <c r="A187" i="4"/>
  <c r="H183" i="4"/>
  <c r="J182" i="4"/>
  <c r="D184" i="4"/>
  <c r="C185" i="4"/>
  <c r="J183" i="4" l="1"/>
  <c r="H184" i="4"/>
  <c r="B187" i="4"/>
  <c r="A188" i="4"/>
  <c r="D185" i="4"/>
  <c r="C186" i="4"/>
  <c r="F184" i="4"/>
  <c r="C187" i="4" l="1"/>
  <c r="D186" i="4"/>
  <c r="B188" i="4"/>
  <c r="A189" i="4"/>
  <c r="H185" i="4"/>
  <c r="F185" i="4"/>
  <c r="J184" i="4"/>
  <c r="F186" i="4" l="1"/>
  <c r="H186" i="4"/>
  <c r="A190" i="4"/>
  <c r="B189" i="4"/>
  <c r="J185" i="4"/>
  <c r="D187" i="4"/>
  <c r="C188" i="4"/>
  <c r="J186" i="4" l="1"/>
  <c r="B190" i="4"/>
  <c r="A191" i="4"/>
  <c r="H187" i="4"/>
  <c r="D188" i="4"/>
  <c r="C189" i="4"/>
  <c r="F187" i="4"/>
  <c r="C190" i="4" l="1"/>
  <c r="D189" i="4"/>
  <c r="H188" i="4"/>
  <c r="B191" i="4"/>
  <c r="A192" i="4"/>
  <c r="F188" i="4"/>
  <c r="J187" i="4"/>
  <c r="F189" i="4" l="1"/>
  <c r="B192" i="4"/>
  <c r="A193" i="4"/>
  <c r="H189" i="4"/>
  <c r="J188" i="4"/>
  <c r="D190" i="4"/>
  <c r="C191" i="4"/>
  <c r="J189" i="4" l="1"/>
  <c r="H190" i="4"/>
  <c r="B193" i="4"/>
  <c r="A194" i="4"/>
  <c r="D191" i="4"/>
  <c r="C192" i="4"/>
  <c r="F190" i="4"/>
  <c r="D192" i="4" l="1"/>
  <c r="C193" i="4"/>
  <c r="A195" i="4"/>
  <c r="B194" i="4"/>
  <c r="H191" i="4"/>
  <c r="F191" i="4"/>
  <c r="J190" i="4"/>
  <c r="F192" i="4" l="1"/>
  <c r="H192" i="4"/>
  <c r="A196" i="4"/>
  <c r="B195" i="4"/>
  <c r="D193" i="4"/>
  <c r="C194" i="4"/>
  <c r="J191" i="4"/>
  <c r="D194" i="4" l="1"/>
  <c r="C195" i="4"/>
  <c r="A197" i="4"/>
  <c r="B196" i="4"/>
  <c r="H193" i="4"/>
  <c r="J192" i="4"/>
  <c r="F193" i="4"/>
  <c r="J193" i="4" l="1"/>
  <c r="H194" i="4"/>
  <c r="B197" i="4"/>
  <c r="A198" i="4"/>
  <c r="D195" i="4"/>
  <c r="C196" i="4"/>
  <c r="F194" i="4"/>
  <c r="D196" i="4" l="1"/>
  <c r="C197" i="4"/>
  <c r="B198" i="4"/>
  <c r="A199" i="4"/>
  <c r="H195" i="4"/>
  <c r="F195" i="4"/>
  <c r="J194" i="4"/>
  <c r="F196" i="4" l="1"/>
  <c r="H196" i="4"/>
  <c r="A200" i="4"/>
  <c r="B199" i="4"/>
  <c r="D197" i="4"/>
  <c r="C198" i="4"/>
  <c r="J195" i="4"/>
  <c r="D198" i="4" l="1"/>
  <c r="C199" i="4"/>
  <c r="A201" i="4"/>
  <c r="B200" i="4"/>
  <c r="H197" i="4"/>
  <c r="J196" i="4"/>
  <c r="F197" i="4"/>
  <c r="J197" i="4" l="1"/>
  <c r="H198" i="4"/>
  <c r="A202" i="4"/>
  <c r="B201" i="4"/>
  <c r="D199" i="4"/>
  <c r="C200" i="4"/>
  <c r="F198" i="4"/>
  <c r="D200" i="4" l="1"/>
  <c r="C201" i="4"/>
  <c r="A203" i="4"/>
  <c r="B202" i="4"/>
  <c r="H199" i="4"/>
  <c r="F199" i="4"/>
  <c r="J198" i="4"/>
  <c r="F200" i="4" l="1"/>
  <c r="H200" i="4"/>
  <c r="A204" i="4"/>
  <c r="B203" i="4"/>
  <c r="J199" i="4"/>
  <c r="D201" i="4"/>
  <c r="C202" i="4"/>
  <c r="J200" i="4" l="1"/>
  <c r="A205" i="4"/>
  <c r="B204" i="4"/>
  <c r="H201" i="4"/>
  <c r="D202" i="4"/>
  <c r="C203" i="4"/>
  <c r="F201" i="4"/>
  <c r="D203" i="4" l="1"/>
  <c r="C204" i="4"/>
  <c r="H202" i="4"/>
  <c r="B205" i="4"/>
  <c r="A206" i="4"/>
  <c r="J201" i="4"/>
  <c r="F202" i="4"/>
  <c r="J202" i="4" l="1"/>
  <c r="B206" i="4"/>
  <c r="A207" i="4"/>
  <c r="H203" i="4"/>
  <c r="F203" i="4"/>
  <c r="D204" i="4"/>
  <c r="C205" i="4"/>
  <c r="F204" i="4" l="1"/>
  <c r="H204" i="4"/>
  <c r="A208" i="4"/>
  <c r="B207" i="4"/>
  <c r="C206" i="4"/>
  <c r="D205" i="4"/>
  <c r="J203" i="4"/>
  <c r="D206" i="4" l="1"/>
  <c r="C207" i="4"/>
  <c r="A209" i="4"/>
  <c r="B208" i="4"/>
  <c r="H205" i="4"/>
  <c r="J204" i="4"/>
  <c r="F205" i="4"/>
  <c r="J205" i="4" l="1"/>
  <c r="H206" i="4"/>
  <c r="B209" i="4"/>
  <c r="A210" i="4"/>
  <c r="F206" i="4"/>
  <c r="C208" i="4"/>
  <c r="D207" i="4"/>
  <c r="F207" i="4" l="1"/>
  <c r="B210" i="4"/>
  <c r="A211" i="4"/>
  <c r="H207" i="4"/>
  <c r="C209" i="4"/>
  <c r="D208" i="4"/>
  <c r="J206" i="4"/>
  <c r="D209" i="4" l="1"/>
  <c r="C210" i="4"/>
  <c r="H208" i="4"/>
  <c r="B211" i="4"/>
  <c r="A212" i="4"/>
  <c r="J207" i="4"/>
  <c r="F208" i="4"/>
  <c r="J208" i="4" l="1"/>
  <c r="B212" i="4"/>
  <c r="A213" i="4"/>
  <c r="H209" i="4"/>
  <c r="F209" i="4"/>
  <c r="D210" i="4"/>
  <c r="C211" i="4"/>
  <c r="F210" i="4" l="1"/>
  <c r="H210" i="4"/>
  <c r="A214" i="4"/>
  <c r="B213" i="4"/>
  <c r="D211" i="4"/>
  <c r="C212" i="4"/>
  <c r="J209" i="4"/>
  <c r="C213" i="4" l="1"/>
  <c r="D212" i="4"/>
  <c r="B214" i="4"/>
  <c r="A215" i="4"/>
  <c r="H211" i="4"/>
  <c r="J210" i="4"/>
  <c r="F211" i="4"/>
  <c r="J211" i="4" l="1"/>
  <c r="H212" i="4"/>
  <c r="B215" i="4"/>
  <c r="A216" i="4"/>
  <c r="F212" i="4"/>
  <c r="D213" i="4"/>
  <c r="C214" i="4"/>
  <c r="F213" i="4" l="1"/>
  <c r="A217" i="4"/>
  <c r="B216" i="4"/>
  <c r="H213" i="4"/>
  <c r="C215" i="4"/>
  <c r="D214" i="4"/>
  <c r="J212" i="4"/>
  <c r="D215" i="4" l="1"/>
  <c r="C216" i="4"/>
  <c r="H214" i="4"/>
  <c r="A218" i="4"/>
  <c r="B217" i="4"/>
  <c r="J213" i="4"/>
  <c r="F214" i="4"/>
  <c r="J214" i="4" l="1"/>
  <c r="B218" i="4"/>
  <c r="A219" i="4"/>
  <c r="H215" i="4"/>
  <c r="C217" i="4"/>
  <c r="D216" i="4"/>
  <c r="F215" i="4"/>
  <c r="D217" i="4" l="1"/>
  <c r="C218" i="4"/>
  <c r="H216" i="4"/>
  <c r="A220" i="4"/>
  <c r="B219" i="4"/>
  <c r="J215" i="4"/>
  <c r="F216" i="4"/>
  <c r="J216" i="4" l="1"/>
  <c r="A221" i="4"/>
  <c r="B220" i="4"/>
  <c r="H217" i="4"/>
  <c r="F217" i="4"/>
  <c r="D218" i="4"/>
  <c r="C219" i="4"/>
  <c r="F218" i="4" l="1"/>
  <c r="H218" i="4"/>
  <c r="A222" i="4"/>
  <c r="B221" i="4"/>
  <c r="D219" i="4"/>
  <c r="C220" i="4"/>
  <c r="J217" i="4"/>
  <c r="D220" i="4" l="1"/>
  <c r="C221" i="4"/>
  <c r="A223" i="4"/>
  <c r="B222" i="4"/>
  <c r="H219" i="4"/>
  <c r="J218" i="4"/>
  <c r="F219" i="4"/>
  <c r="J219" i="4" l="1"/>
  <c r="H220" i="4"/>
  <c r="A224" i="4"/>
  <c r="B223" i="4"/>
  <c r="C222" i="4"/>
  <c r="D221" i="4"/>
  <c r="F220" i="4"/>
  <c r="C223" i="4" l="1"/>
  <c r="D222" i="4"/>
  <c r="B224" i="4"/>
  <c r="A225" i="4"/>
  <c r="H221" i="4"/>
  <c r="F221" i="4"/>
  <c r="J220" i="4"/>
  <c r="F222" i="4" l="1"/>
  <c r="H222" i="4"/>
  <c r="A226" i="4"/>
  <c r="B225" i="4"/>
  <c r="J221" i="4"/>
  <c r="C224" i="4"/>
  <c r="D223" i="4"/>
  <c r="J222" i="4" l="1"/>
  <c r="A227" i="4"/>
  <c r="B226" i="4"/>
  <c r="H223" i="4"/>
  <c r="D224" i="4"/>
  <c r="C225" i="4"/>
  <c r="F223" i="4"/>
  <c r="D225" i="4" l="1"/>
  <c r="C226" i="4"/>
  <c r="H224" i="4"/>
  <c r="A228" i="4"/>
  <c r="B227" i="4"/>
  <c r="F224" i="4"/>
  <c r="J223" i="4"/>
  <c r="F225" i="4" l="1"/>
  <c r="B228" i="4"/>
  <c r="A229" i="4"/>
  <c r="H225" i="4"/>
  <c r="J224" i="4"/>
  <c r="C227" i="4"/>
  <c r="D226" i="4"/>
  <c r="J225" i="4" l="1"/>
  <c r="H226" i="4"/>
  <c r="B229" i="4"/>
  <c r="A230" i="4"/>
  <c r="C228" i="4"/>
  <c r="D227" i="4"/>
  <c r="F226" i="4"/>
  <c r="C229" i="4" l="1"/>
  <c r="D228" i="4"/>
  <c r="B230" i="4"/>
  <c r="A231" i="4"/>
  <c r="H227" i="4"/>
  <c r="F227" i="4"/>
  <c r="J226" i="4"/>
  <c r="F228" i="4" l="1"/>
  <c r="H228" i="4"/>
  <c r="B231" i="4"/>
  <c r="A232" i="4"/>
  <c r="J227" i="4"/>
  <c r="C230" i="4"/>
  <c r="D229" i="4"/>
  <c r="J228" i="4" l="1"/>
  <c r="B232" i="4"/>
  <c r="A233" i="4"/>
  <c r="H229" i="4"/>
  <c r="D230" i="4"/>
  <c r="C231" i="4"/>
  <c r="F229" i="4"/>
  <c r="D231" i="4" l="1"/>
  <c r="C232" i="4"/>
  <c r="H230" i="4"/>
  <c r="B233" i="4"/>
  <c r="A234" i="4"/>
  <c r="F230" i="4"/>
  <c r="J229" i="4"/>
  <c r="F231" i="4" l="1"/>
  <c r="A235" i="4"/>
  <c r="B234" i="4"/>
  <c r="H231" i="4"/>
  <c r="J230" i="4"/>
  <c r="D232" i="4"/>
  <c r="C233" i="4"/>
  <c r="J231" i="4" l="1"/>
  <c r="H232" i="4"/>
  <c r="A236" i="4"/>
  <c r="B235" i="4"/>
  <c r="D233" i="4"/>
  <c r="C234" i="4"/>
  <c r="F232" i="4"/>
  <c r="C235" i="4" l="1"/>
  <c r="D234" i="4"/>
  <c r="A237" i="4"/>
  <c r="B236" i="4"/>
  <c r="H233" i="4"/>
  <c r="J232" i="4"/>
  <c r="F233" i="4"/>
  <c r="J233" i="4" l="1"/>
  <c r="H234" i="4"/>
  <c r="B237" i="4"/>
  <c r="A238" i="4"/>
  <c r="F234" i="4"/>
  <c r="C236" i="4"/>
  <c r="D235" i="4"/>
  <c r="F235" i="4" l="1"/>
  <c r="A239" i="4"/>
  <c r="B238" i="4"/>
  <c r="H235" i="4"/>
  <c r="J234" i="4"/>
  <c r="C237" i="4"/>
  <c r="D236" i="4"/>
  <c r="J235" i="4" l="1"/>
  <c r="H236" i="4"/>
  <c r="B239" i="4"/>
  <c r="A240" i="4"/>
  <c r="C238" i="4"/>
  <c r="D237" i="4"/>
  <c r="F236" i="4"/>
  <c r="D238" i="4" l="1"/>
  <c r="C239" i="4"/>
  <c r="A241" i="4"/>
  <c r="B240" i="4"/>
  <c r="H237" i="4"/>
  <c r="J236" i="4"/>
  <c r="F237" i="4"/>
  <c r="J237" i="4" l="1"/>
  <c r="H238" i="4"/>
  <c r="B241" i="4"/>
  <c r="A242" i="4"/>
  <c r="C240" i="4"/>
  <c r="D239" i="4"/>
  <c r="F238" i="4"/>
  <c r="D240" i="4" l="1"/>
  <c r="C241" i="4"/>
  <c r="A243" i="4"/>
  <c r="B242" i="4"/>
  <c r="H239" i="4"/>
  <c r="F239" i="4"/>
  <c r="J238" i="4"/>
  <c r="F240" i="4" l="1"/>
  <c r="H240" i="4"/>
  <c r="B243" i="4"/>
  <c r="A244" i="4"/>
  <c r="J239" i="4"/>
  <c r="C242" i="4"/>
  <c r="D241" i="4"/>
  <c r="J240" i="4" l="1"/>
  <c r="A245" i="4"/>
  <c r="B244" i="4"/>
  <c r="H241" i="4"/>
  <c r="F241" i="4"/>
  <c r="C243" i="4"/>
  <c r="D242" i="4"/>
  <c r="F242" i="4" l="1"/>
  <c r="H242" i="4"/>
  <c r="A246" i="4"/>
  <c r="B245" i="4"/>
  <c r="D243" i="4"/>
  <c r="C244" i="4"/>
  <c r="J241" i="4"/>
  <c r="C245" i="4" l="1"/>
  <c r="D244" i="4"/>
  <c r="A247" i="4"/>
  <c r="B246" i="4"/>
  <c r="H243" i="4"/>
  <c r="J242" i="4"/>
  <c r="F243" i="4"/>
  <c r="J243" i="4" l="1"/>
  <c r="H244" i="4"/>
  <c r="A248" i="4"/>
  <c r="B247" i="4"/>
  <c r="F244" i="4"/>
  <c r="C246" i="4"/>
  <c r="D245" i="4"/>
  <c r="F245" i="4" l="1"/>
  <c r="B248" i="4"/>
  <c r="A249" i="4"/>
  <c r="H245" i="4"/>
  <c r="C247" i="4"/>
  <c r="D246" i="4"/>
  <c r="J244" i="4"/>
  <c r="D247" i="4" l="1"/>
  <c r="C248" i="4"/>
  <c r="H246" i="4"/>
  <c r="A250" i="4"/>
  <c r="B249" i="4"/>
  <c r="F246" i="4"/>
  <c r="J245" i="4"/>
  <c r="F247" i="4" l="1"/>
  <c r="A251" i="4"/>
  <c r="B250" i="4"/>
  <c r="H247" i="4"/>
  <c r="D248" i="4"/>
  <c r="C249" i="4"/>
  <c r="J246" i="4"/>
  <c r="D249" i="4" l="1"/>
  <c r="C250" i="4"/>
  <c r="B251" i="4"/>
  <c r="A252" i="4"/>
  <c r="J247" i="4"/>
  <c r="H248" i="4"/>
  <c r="F248" i="4"/>
  <c r="H249" i="4" l="1"/>
  <c r="J248" i="4"/>
  <c r="D250" i="4"/>
  <c r="C251" i="4"/>
  <c r="A253" i="4"/>
  <c r="B252" i="4"/>
  <c r="F249" i="4"/>
  <c r="B253" i="4" l="1"/>
  <c r="A254" i="4"/>
  <c r="D251" i="4"/>
  <c r="C252" i="4"/>
  <c r="J249" i="4"/>
  <c r="F250" i="4"/>
  <c r="H250" i="4"/>
  <c r="J250" i="4" l="1"/>
  <c r="F251" i="4"/>
  <c r="D252" i="4"/>
  <c r="C253" i="4"/>
  <c r="B254" i="4"/>
  <c r="A255" i="4"/>
  <c r="H251" i="4"/>
  <c r="C254" i="4" l="1"/>
  <c r="D253" i="4"/>
  <c r="B255" i="4"/>
  <c r="A256" i="4"/>
  <c r="F252" i="4"/>
  <c r="H252" i="4"/>
  <c r="J251" i="4"/>
  <c r="F253" i="4" l="1"/>
  <c r="H253" i="4"/>
  <c r="A257" i="4"/>
  <c r="B256" i="4"/>
  <c r="J252" i="4"/>
  <c r="C255" i="4"/>
  <c r="D254" i="4"/>
  <c r="B257" i="4" l="1"/>
  <c r="A258" i="4"/>
  <c r="J253" i="4"/>
  <c r="H254" i="4"/>
  <c r="D255" i="4"/>
  <c r="C256" i="4"/>
  <c r="F254" i="4"/>
  <c r="H255" i="4" l="1"/>
  <c r="J254" i="4"/>
  <c r="A259" i="4"/>
  <c r="B258" i="4"/>
  <c r="C257" i="4"/>
  <c r="D256" i="4"/>
  <c r="F255" i="4"/>
  <c r="D257" i="4" l="1"/>
  <c r="C258" i="4"/>
  <c r="B259" i="4"/>
  <c r="A260" i="4"/>
  <c r="J255" i="4"/>
  <c r="F256" i="4"/>
  <c r="H256" i="4"/>
  <c r="J256" i="4" l="1"/>
  <c r="A261" i="4"/>
  <c r="B260" i="4"/>
  <c r="C259" i="4"/>
  <c r="D258" i="4"/>
  <c r="F257" i="4"/>
  <c r="H257" i="4"/>
  <c r="F258" i="4" l="1"/>
  <c r="B261" i="4"/>
  <c r="A262" i="4"/>
  <c r="H258" i="4"/>
  <c r="C260" i="4"/>
  <c r="D259" i="4"/>
  <c r="J257" i="4"/>
  <c r="D260" i="4" l="1"/>
  <c r="C261" i="4"/>
  <c r="H259" i="4"/>
  <c r="B262" i="4"/>
  <c r="A263" i="4"/>
  <c r="J258" i="4"/>
  <c r="F259" i="4"/>
  <c r="J259" i="4" l="1"/>
  <c r="B263" i="4"/>
  <c r="A264" i="4"/>
  <c r="H260" i="4"/>
  <c r="D261" i="4"/>
  <c r="C262" i="4"/>
  <c r="F260" i="4"/>
  <c r="D262" i="4" l="1"/>
  <c r="C263" i="4"/>
  <c r="H261" i="4"/>
  <c r="A265" i="4"/>
  <c r="B264" i="4"/>
  <c r="F261" i="4"/>
  <c r="J260" i="4"/>
  <c r="F262" i="4" l="1"/>
  <c r="A266" i="4"/>
  <c r="B265" i="4"/>
  <c r="H262" i="4"/>
  <c r="J261" i="4"/>
  <c r="C264" i="4"/>
  <c r="D263" i="4"/>
  <c r="J262" i="4" l="1"/>
  <c r="H263" i="4"/>
  <c r="B266" i="4"/>
  <c r="A267" i="4"/>
  <c r="F263" i="4"/>
  <c r="D264" i="4"/>
  <c r="C265" i="4"/>
  <c r="F264" i="4" l="1"/>
  <c r="B267" i="4"/>
  <c r="A268" i="4"/>
  <c r="H264" i="4"/>
  <c r="D265" i="4"/>
  <c r="C266" i="4"/>
  <c r="J263" i="4"/>
  <c r="D266" i="4" l="1"/>
  <c r="C267" i="4"/>
  <c r="H265" i="4"/>
  <c r="A269" i="4"/>
  <c r="B268" i="4"/>
  <c r="F265" i="4"/>
  <c r="J264" i="4"/>
  <c r="F266" i="4" l="1"/>
  <c r="B269" i="4"/>
  <c r="A270" i="4"/>
  <c r="H266" i="4"/>
  <c r="D267" i="4"/>
  <c r="C268" i="4"/>
  <c r="J265" i="4"/>
  <c r="D268" i="4" l="1"/>
  <c r="C269" i="4"/>
  <c r="H267" i="4"/>
  <c r="B270" i="4"/>
  <c r="A271" i="4"/>
  <c r="J266" i="4"/>
  <c r="F267" i="4"/>
  <c r="J267" i="4" l="1"/>
  <c r="A272" i="4"/>
  <c r="B271" i="4"/>
  <c r="H268" i="4"/>
  <c r="C270" i="4"/>
  <c r="D269" i="4"/>
  <c r="F268" i="4"/>
  <c r="D270" i="4" l="1"/>
  <c r="C271" i="4"/>
  <c r="H269" i="4"/>
  <c r="A273" i="4"/>
  <c r="B272" i="4"/>
  <c r="F269" i="4"/>
  <c r="J268" i="4"/>
  <c r="F270" i="4" l="1"/>
  <c r="B273" i="4"/>
  <c r="A274" i="4"/>
  <c r="H270" i="4"/>
  <c r="D271" i="4"/>
  <c r="C272" i="4"/>
  <c r="J269" i="4"/>
  <c r="D272" i="4" l="1"/>
  <c r="C273" i="4"/>
  <c r="H271" i="4"/>
  <c r="B274" i="4"/>
  <c r="A275" i="4"/>
  <c r="J270" i="4"/>
  <c r="F271" i="4"/>
  <c r="J271" i="4" l="1"/>
  <c r="A276" i="4"/>
  <c r="B275" i="4"/>
  <c r="H272" i="4"/>
  <c r="F272" i="4"/>
  <c r="D273" i="4"/>
  <c r="C274" i="4"/>
  <c r="F273" i="4" l="1"/>
  <c r="H273" i="4"/>
  <c r="B276" i="4"/>
  <c r="A277" i="4"/>
  <c r="C275" i="4"/>
  <c r="D274" i="4"/>
  <c r="J272" i="4"/>
  <c r="D275" i="4" l="1"/>
  <c r="C276" i="4"/>
  <c r="A278" i="4"/>
  <c r="B277" i="4"/>
  <c r="H274" i="4"/>
  <c r="J273" i="4"/>
  <c r="F274" i="4"/>
  <c r="J274" i="4" l="1"/>
  <c r="H275" i="4"/>
  <c r="B278" i="4"/>
  <c r="A279" i="4"/>
  <c r="F275" i="4"/>
  <c r="D276" i="4"/>
  <c r="C277" i="4"/>
  <c r="F276" i="4" l="1"/>
  <c r="A280" i="4"/>
  <c r="B279" i="4"/>
  <c r="H276" i="4"/>
  <c r="D277" i="4"/>
  <c r="C278" i="4"/>
  <c r="J275" i="4"/>
  <c r="C279" i="4" l="1"/>
  <c r="D278" i="4"/>
  <c r="H277" i="4"/>
  <c r="B280" i="4"/>
  <c r="A281" i="4"/>
  <c r="J276" i="4"/>
  <c r="F277" i="4"/>
  <c r="J277" i="4" l="1"/>
  <c r="A282" i="4"/>
  <c r="B281" i="4"/>
  <c r="H278" i="4"/>
  <c r="F278" i="4"/>
  <c r="C280" i="4"/>
  <c r="D279" i="4"/>
  <c r="F279" i="4" l="1"/>
  <c r="H279" i="4"/>
  <c r="A283" i="4"/>
  <c r="B282" i="4"/>
  <c r="D280" i="4"/>
  <c r="C281" i="4"/>
  <c r="J278" i="4"/>
  <c r="D281" i="4" l="1"/>
  <c r="C282" i="4"/>
  <c r="A284" i="4"/>
  <c r="B283" i="4"/>
  <c r="H280" i="4"/>
  <c r="F280" i="4"/>
  <c r="J279" i="4"/>
  <c r="F281" i="4" l="1"/>
  <c r="H281" i="4"/>
  <c r="A285" i="4"/>
  <c r="B284" i="4"/>
  <c r="C283" i="4"/>
  <c r="D282" i="4"/>
  <c r="J280" i="4"/>
  <c r="D283" i="4" l="1"/>
  <c r="C284" i="4"/>
  <c r="B285" i="4"/>
  <c r="A286" i="4"/>
  <c r="H282" i="4"/>
  <c r="F282" i="4"/>
  <c r="J281" i="4"/>
  <c r="F283" i="4" l="1"/>
  <c r="H283" i="4"/>
  <c r="B286" i="4"/>
  <c r="A287" i="4"/>
  <c r="C285" i="4"/>
  <c r="D284" i="4"/>
  <c r="J282" i="4"/>
  <c r="D285" i="4" l="1"/>
  <c r="C286" i="4"/>
  <c r="B287" i="4"/>
  <c r="A288" i="4"/>
  <c r="H284" i="4"/>
  <c r="F284" i="4"/>
  <c r="J283" i="4"/>
  <c r="F285" i="4" l="1"/>
  <c r="H285" i="4"/>
  <c r="B288" i="4"/>
  <c r="A289" i="4"/>
  <c r="J284" i="4"/>
  <c r="D286" i="4"/>
  <c r="C287" i="4"/>
  <c r="J285" i="4" l="1"/>
  <c r="A290" i="4"/>
  <c r="B289" i="4"/>
  <c r="H286" i="4"/>
  <c r="D287" i="4"/>
  <c r="C288" i="4"/>
  <c r="F286" i="4"/>
  <c r="D288" i="4" l="1"/>
  <c r="C289" i="4"/>
  <c r="H287" i="4"/>
  <c r="A291" i="4"/>
  <c r="B290" i="4"/>
  <c r="F287" i="4"/>
  <c r="J286" i="4"/>
  <c r="F288" i="4" l="1"/>
  <c r="A292" i="4"/>
  <c r="B291" i="4"/>
  <c r="H288" i="4"/>
  <c r="D289" i="4"/>
  <c r="C290" i="4"/>
  <c r="J287" i="4"/>
  <c r="D290" i="4" l="1"/>
  <c r="C291" i="4"/>
  <c r="H289" i="4"/>
  <c r="B292" i="4"/>
  <c r="A293" i="4"/>
  <c r="J288" i="4"/>
  <c r="F289" i="4"/>
  <c r="J289" i="4" l="1"/>
  <c r="A294" i="4"/>
  <c r="B293" i="4"/>
  <c r="H290" i="4"/>
  <c r="F290" i="4"/>
  <c r="C292" i="4"/>
  <c r="D291" i="4"/>
  <c r="F291" i="4" l="1"/>
  <c r="H291" i="4"/>
  <c r="A295" i="4"/>
  <c r="B294" i="4"/>
  <c r="J290" i="4"/>
  <c r="D292" i="4"/>
  <c r="C293" i="4"/>
  <c r="J291" i="4" l="1"/>
  <c r="A296" i="4"/>
  <c r="B295" i="4"/>
  <c r="H292" i="4"/>
  <c r="C294" i="4"/>
  <c r="D293" i="4"/>
  <c r="F292" i="4"/>
  <c r="D294" i="4" l="1"/>
  <c r="C295" i="4"/>
  <c r="H293" i="4"/>
  <c r="A297" i="4"/>
  <c r="B296" i="4"/>
  <c r="F293" i="4"/>
  <c r="J292" i="4"/>
  <c r="F294" i="4" l="1"/>
  <c r="A298" i="4"/>
  <c r="B297" i="4"/>
  <c r="H294" i="4"/>
  <c r="J293" i="4"/>
  <c r="D295" i="4"/>
  <c r="C296" i="4"/>
  <c r="J294" i="4" l="1"/>
  <c r="H295" i="4"/>
  <c r="A299" i="4"/>
  <c r="B298" i="4"/>
  <c r="D296" i="4"/>
  <c r="C297" i="4"/>
  <c r="F295" i="4"/>
  <c r="D297" i="4" l="1"/>
  <c r="C298" i="4"/>
  <c r="A300" i="4"/>
  <c r="B299" i="4"/>
  <c r="H296" i="4"/>
  <c r="F296" i="4"/>
  <c r="J295" i="4"/>
  <c r="F297" i="4" l="1"/>
  <c r="H297" i="4"/>
  <c r="A301" i="4"/>
  <c r="B300" i="4"/>
  <c r="J296" i="4"/>
  <c r="C299" i="4"/>
  <c r="D298" i="4"/>
  <c r="J297" i="4" l="1"/>
  <c r="A302" i="4"/>
  <c r="B301" i="4"/>
  <c r="H298" i="4"/>
  <c r="F298" i="4"/>
  <c r="C300" i="4"/>
  <c r="D299" i="4"/>
  <c r="F299" i="4" l="1"/>
  <c r="H299" i="4"/>
  <c r="A303" i="4"/>
  <c r="B302" i="4"/>
  <c r="J298" i="4"/>
  <c r="D300" i="4"/>
  <c r="C301" i="4"/>
  <c r="J299" i="4" l="1"/>
  <c r="A304" i="4"/>
  <c r="B303" i="4"/>
  <c r="H300" i="4"/>
  <c r="D301" i="4"/>
  <c r="C302" i="4"/>
  <c r="F300" i="4"/>
  <c r="C303" i="4" l="1"/>
  <c r="D302" i="4"/>
  <c r="H301" i="4"/>
  <c r="B304" i="4"/>
  <c r="A305" i="4"/>
  <c r="F301" i="4"/>
  <c r="J300" i="4"/>
  <c r="F302" i="4" l="1"/>
  <c r="B305" i="4"/>
  <c r="A306" i="4"/>
  <c r="H302" i="4"/>
  <c r="J301" i="4"/>
  <c r="C304" i="4"/>
  <c r="D303" i="4"/>
  <c r="J302" i="4" l="1"/>
  <c r="H303" i="4"/>
  <c r="A307" i="4"/>
  <c r="B306" i="4"/>
  <c r="D304" i="4"/>
  <c r="C305" i="4"/>
  <c r="F303" i="4"/>
  <c r="C306" i="4" l="1"/>
  <c r="D305" i="4"/>
  <c r="B307" i="4"/>
  <c r="A308" i="4"/>
  <c r="H304" i="4"/>
  <c r="F304" i="4"/>
  <c r="J303" i="4"/>
  <c r="F305" i="4" l="1"/>
  <c r="H305" i="4"/>
  <c r="B308" i="4"/>
  <c r="A309" i="4"/>
  <c r="J304" i="4"/>
  <c r="D306" i="4"/>
  <c r="C307" i="4"/>
  <c r="J305" i="4" l="1"/>
  <c r="B309" i="4"/>
  <c r="A310" i="4"/>
  <c r="H306" i="4"/>
  <c r="D307" i="4"/>
  <c r="C308" i="4"/>
  <c r="F306" i="4"/>
  <c r="D308" i="4" l="1"/>
  <c r="C309" i="4"/>
  <c r="H307" i="4"/>
  <c r="B310" i="4"/>
  <c r="A311" i="4"/>
  <c r="F307" i="4"/>
  <c r="J306" i="4"/>
  <c r="F308" i="4" l="1"/>
  <c r="A312" i="4"/>
  <c r="B311" i="4"/>
  <c r="H308" i="4"/>
  <c r="D309" i="4"/>
  <c r="C310" i="4"/>
  <c r="J307" i="4"/>
  <c r="C311" i="4" l="1"/>
  <c r="D310" i="4"/>
  <c r="H309" i="4"/>
  <c r="A313" i="4"/>
  <c r="B312" i="4"/>
  <c r="J308" i="4"/>
  <c r="F309" i="4"/>
  <c r="J309" i="4" l="1"/>
  <c r="A314" i="4"/>
  <c r="B313" i="4"/>
  <c r="H310" i="4"/>
  <c r="F310" i="4"/>
  <c r="C312" i="4"/>
  <c r="D311" i="4"/>
  <c r="F311" i="4" l="1"/>
  <c r="H311" i="4"/>
  <c r="B314" i="4"/>
  <c r="A315" i="4"/>
  <c r="D312" i="4"/>
  <c r="C313" i="4"/>
  <c r="J310" i="4"/>
  <c r="C314" i="4" l="1"/>
  <c r="D313" i="4"/>
  <c r="B315" i="4"/>
  <c r="A316" i="4"/>
  <c r="H312" i="4"/>
  <c r="J311" i="4"/>
  <c r="F312" i="4"/>
  <c r="J312" i="4" l="1"/>
  <c r="H313" i="4"/>
  <c r="B316" i="4"/>
  <c r="A317" i="4"/>
  <c r="F313" i="4"/>
  <c r="C315" i="4"/>
  <c r="D314" i="4"/>
  <c r="F314" i="4" l="1"/>
  <c r="A318" i="4"/>
  <c r="B317" i="4"/>
  <c r="H314" i="4"/>
  <c r="C316" i="4"/>
  <c r="D315" i="4"/>
  <c r="J313" i="4"/>
  <c r="C317" i="4" l="1"/>
  <c r="D316" i="4"/>
  <c r="H315" i="4"/>
  <c r="A319" i="4"/>
  <c r="B318" i="4"/>
  <c r="J314" i="4"/>
  <c r="F315" i="4"/>
  <c r="J315" i="4" l="1"/>
  <c r="A320" i="4"/>
  <c r="B319" i="4"/>
  <c r="H316" i="4"/>
  <c r="F316" i="4"/>
  <c r="D317" i="4"/>
  <c r="C318" i="4"/>
  <c r="F317" i="4" l="1"/>
  <c r="H317" i="4"/>
  <c r="A321" i="4"/>
  <c r="B320" i="4"/>
  <c r="C319" i="4"/>
  <c r="D318" i="4"/>
  <c r="J316" i="4"/>
  <c r="C320" i="4" l="1"/>
  <c r="D319" i="4"/>
  <c r="A322" i="4"/>
  <c r="B321" i="4"/>
  <c r="H318" i="4"/>
  <c r="F318" i="4"/>
  <c r="J317" i="4"/>
  <c r="F319" i="4" l="1"/>
  <c r="H319" i="4"/>
  <c r="A323" i="4"/>
  <c r="B322" i="4"/>
  <c r="J318" i="4"/>
  <c r="D320" i="4"/>
  <c r="C321" i="4"/>
  <c r="J319" i="4" l="1"/>
  <c r="A324" i="4"/>
  <c r="B323" i="4"/>
  <c r="H320" i="4"/>
  <c r="C322" i="4"/>
  <c r="D321" i="4"/>
  <c r="F320" i="4"/>
  <c r="D322" i="4" l="1"/>
  <c r="C323" i="4"/>
  <c r="H321" i="4"/>
  <c r="A325" i="4"/>
  <c r="B324" i="4"/>
  <c r="F321" i="4"/>
  <c r="J320" i="4"/>
  <c r="F322" i="4" l="1"/>
  <c r="A326" i="4"/>
  <c r="B325" i="4"/>
  <c r="H322" i="4"/>
  <c r="D323" i="4"/>
  <c r="C324" i="4"/>
  <c r="J321" i="4"/>
  <c r="C325" i="4" l="1"/>
  <c r="D324" i="4"/>
  <c r="H323" i="4"/>
  <c r="B326" i="4"/>
  <c r="A327" i="4"/>
  <c r="J322" i="4"/>
  <c r="F323" i="4"/>
  <c r="J323" i="4" l="1"/>
  <c r="A328" i="4"/>
  <c r="B327" i="4"/>
  <c r="H324" i="4"/>
  <c r="F324" i="4"/>
  <c r="C326" i="4"/>
  <c r="D325" i="4"/>
  <c r="F325" i="4" l="1"/>
  <c r="H325" i="4"/>
  <c r="A329" i="4"/>
  <c r="B328" i="4"/>
  <c r="C327" i="4"/>
  <c r="D326" i="4"/>
  <c r="J324" i="4"/>
  <c r="A330" i="4" l="1"/>
  <c r="B329" i="4"/>
  <c r="J325" i="4"/>
  <c r="H326" i="4"/>
  <c r="D327" i="4"/>
  <c r="C328" i="4"/>
  <c r="F326" i="4"/>
  <c r="H327" i="4" l="1"/>
  <c r="J326" i="4"/>
  <c r="F327" i="4"/>
  <c r="D328" i="4"/>
  <c r="C329" i="4"/>
  <c r="B330" i="4"/>
  <c r="A331" i="4"/>
  <c r="F328" i="4" l="1"/>
  <c r="B331" i="4"/>
  <c r="A332" i="4"/>
  <c r="J327" i="4"/>
  <c r="C330" i="4"/>
  <c r="D329" i="4"/>
  <c r="H328" i="4"/>
  <c r="J328" i="4" l="1"/>
  <c r="A333" i="4"/>
  <c r="B332" i="4"/>
  <c r="H329" i="4"/>
  <c r="F329" i="4"/>
  <c r="C331" i="4"/>
  <c r="D330" i="4"/>
  <c r="F330" i="4" l="1"/>
  <c r="H330" i="4"/>
  <c r="C332" i="4"/>
  <c r="D331" i="4"/>
  <c r="A334" i="4"/>
  <c r="B333" i="4"/>
  <c r="J329" i="4"/>
  <c r="B334" i="4" l="1"/>
  <c r="A335" i="4"/>
  <c r="D332" i="4"/>
  <c r="C333" i="4"/>
  <c r="J330" i="4"/>
  <c r="H331" i="4"/>
  <c r="F331" i="4"/>
  <c r="H332" i="4" l="1"/>
  <c r="J331" i="4"/>
  <c r="C334" i="4"/>
  <c r="D333" i="4"/>
  <c r="F332" i="4"/>
  <c r="A336" i="4"/>
  <c r="B335" i="4"/>
  <c r="F333" i="4" l="1"/>
  <c r="C335" i="4"/>
  <c r="D334" i="4"/>
  <c r="B336" i="4"/>
  <c r="A337" i="4"/>
  <c r="J332" i="4"/>
  <c r="H333" i="4"/>
  <c r="J333" i="4" l="1"/>
  <c r="A338" i="4"/>
  <c r="B337" i="4"/>
  <c r="H334" i="4"/>
  <c r="C336" i="4"/>
  <c r="D335" i="4"/>
  <c r="F334" i="4"/>
  <c r="D336" i="4" l="1"/>
  <c r="C337" i="4"/>
  <c r="H335" i="4"/>
  <c r="F335" i="4"/>
  <c r="B338" i="4"/>
  <c r="A339" i="4"/>
  <c r="J334" i="4"/>
  <c r="B339" i="4" l="1"/>
  <c r="A340" i="4"/>
  <c r="F336" i="4"/>
  <c r="J335" i="4"/>
  <c r="H336" i="4"/>
  <c r="C338" i="4"/>
  <c r="D337" i="4"/>
  <c r="H337" i="4" l="1"/>
  <c r="J336" i="4"/>
  <c r="D338" i="4"/>
  <c r="C339" i="4"/>
  <c r="F337" i="4"/>
  <c r="A341" i="4"/>
  <c r="B340" i="4"/>
  <c r="F338" i="4" l="1"/>
  <c r="C340" i="4"/>
  <c r="D339" i="4"/>
  <c r="A342" i="4"/>
  <c r="B341" i="4"/>
  <c r="J337" i="4"/>
  <c r="H338" i="4"/>
  <c r="J338" i="4" l="1"/>
  <c r="B342" i="4"/>
  <c r="A343" i="4"/>
  <c r="H339" i="4"/>
  <c r="D340" i="4"/>
  <c r="C341" i="4"/>
  <c r="F339" i="4"/>
  <c r="D341" i="4" l="1"/>
  <c r="C342" i="4"/>
  <c r="H340" i="4"/>
  <c r="B343" i="4"/>
  <c r="A344" i="4"/>
  <c r="F340" i="4"/>
  <c r="J339" i="4"/>
  <c r="A345" i="4" l="1"/>
  <c r="B344" i="4"/>
  <c r="J340" i="4"/>
  <c r="H341" i="4"/>
  <c r="D342" i="4"/>
  <c r="C343" i="4"/>
  <c r="F341" i="4"/>
  <c r="H342" i="4" l="1"/>
  <c r="J341" i="4"/>
  <c r="F342" i="4"/>
  <c r="C344" i="4"/>
  <c r="D343" i="4"/>
  <c r="A346" i="4"/>
  <c r="B345" i="4"/>
  <c r="F343" i="4" l="1"/>
  <c r="B346" i="4"/>
  <c r="A347" i="4"/>
  <c r="J342" i="4"/>
  <c r="D344" i="4"/>
  <c r="C345" i="4"/>
  <c r="H343" i="4"/>
  <c r="J343" i="4" l="1"/>
  <c r="A348" i="4"/>
  <c r="B347" i="4"/>
  <c r="H344" i="4"/>
  <c r="C346" i="4"/>
  <c r="D345" i="4"/>
  <c r="F344" i="4"/>
  <c r="H345" i="4" l="1"/>
  <c r="F345" i="4"/>
  <c r="A349" i="4"/>
  <c r="B348" i="4"/>
  <c r="J344" i="4"/>
  <c r="C347" i="4"/>
  <c r="D346" i="4"/>
  <c r="B349" i="4" l="1"/>
  <c r="A350" i="4"/>
  <c r="F346" i="4"/>
  <c r="C348" i="4"/>
  <c r="D347" i="4"/>
  <c r="J345" i="4"/>
  <c r="H346" i="4"/>
  <c r="D348" i="4" l="1"/>
  <c r="C349" i="4"/>
  <c r="H347" i="4"/>
  <c r="F347" i="4"/>
  <c r="A351" i="4"/>
  <c r="B350" i="4"/>
  <c r="J346" i="4"/>
  <c r="F348" i="4" l="1"/>
  <c r="H348" i="4"/>
  <c r="J347" i="4"/>
  <c r="C350" i="4"/>
  <c r="D349" i="4"/>
  <c r="A352" i="4"/>
  <c r="B351" i="4"/>
  <c r="J348" i="4" l="1"/>
  <c r="B352" i="4"/>
  <c r="A353" i="4"/>
  <c r="H349" i="4"/>
  <c r="F349" i="4"/>
  <c r="D350" i="4"/>
  <c r="C351" i="4"/>
  <c r="H350" i="4" l="1"/>
  <c r="A354" i="4"/>
  <c r="B353" i="4"/>
  <c r="D351" i="4"/>
  <c r="C352" i="4"/>
  <c r="J349" i="4"/>
  <c r="F350" i="4"/>
  <c r="J350" i="4" l="1"/>
  <c r="D352" i="4"/>
  <c r="C353" i="4"/>
  <c r="A355" i="4"/>
  <c r="B354" i="4"/>
  <c r="F351" i="4"/>
  <c r="H351" i="4"/>
  <c r="F352" i="4" l="1"/>
  <c r="B355" i="4"/>
  <c r="A356" i="4"/>
  <c r="H352" i="4"/>
  <c r="D353" i="4"/>
  <c r="C354" i="4"/>
  <c r="J351" i="4"/>
  <c r="C355" i="4" l="1"/>
  <c r="D354" i="4"/>
  <c r="H353" i="4"/>
  <c r="A357" i="4"/>
  <c r="B356" i="4"/>
  <c r="J352" i="4"/>
  <c r="F353" i="4"/>
  <c r="J353" i="4" l="1"/>
  <c r="B357" i="4"/>
  <c r="A358" i="4"/>
  <c r="F354" i="4"/>
  <c r="H354" i="4"/>
  <c r="C356" i="4"/>
  <c r="D355" i="4"/>
  <c r="F355" i="4" l="1"/>
  <c r="H355" i="4"/>
  <c r="B358" i="4"/>
  <c r="A359" i="4"/>
  <c r="C357" i="4"/>
  <c r="D356" i="4"/>
  <c r="J354" i="4"/>
  <c r="C358" i="4" l="1"/>
  <c r="D357" i="4"/>
  <c r="A360" i="4"/>
  <c r="B359" i="4"/>
  <c r="J355" i="4"/>
  <c r="H356" i="4"/>
  <c r="F356" i="4"/>
  <c r="J356" i="4" l="1"/>
  <c r="F357" i="4"/>
  <c r="B360" i="4"/>
  <c r="A361" i="4"/>
  <c r="H357" i="4"/>
  <c r="D358" i="4"/>
  <c r="C359" i="4"/>
  <c r="H358" i="4" l="1"/>
  <c r="D359" i="4"/>
  <c r="C360" i="4"/>
  <c r="F358" i="4"/>
  <c r="B361" i="4"/>
  <c r="A362" i="4"/>
  <c r="J357" i="4"/>
  <c r="F359" i="4" l="1"/>
  <c r="C361" i="4"/>
  <c r="D360" i="4"/>
  <c r="J358" i="4"/>
  <c r="A363" i="4"/>
  <c r="B362" i="4"/>
  <c r="H359" i="4"/>
  <c r="J359" i="4" l="1"/>
  <c r="B363" i="4"/>
  <c r="A364" i="4"/>
  <c r="D361" i="4"/>
  <c r="C362" i="4"/>
  <c r="H360" i="4"/>
  <c r="F360" i="4"/>
  <c r="D362" i="4" l="1"/>
  <c r="C363" i="4"/>
  <c r="F361" i="4"/>
  <c r="B364" i="4"/>
  <c r="A365" i="4"/>
  <c r="J360" i="4"/>
  <c r="H361" i="4"/>
  <c r="A366" i="4" l="1"/>
  <c r="B365" i="4"/>
  <c r="C364" i="4"/>
  <c r="D363" i="4"/>
  <c r="H362" i="4"/>
  <c r="J361" i="4"/>
  <c r="F362" i="4"/>
  <c r="J362" i="4" l="1"/>
  <c r="F363" i="4"/>
  <c r="D364" i="4"/>
  <c r="C365" i="4"/>
  <c r="H363" i="4"/>
  <c r="A367" i="4"/>
  <c r="B366" i="4"/>
  <c r="F364" i="4" l="1"/>
  <c r="C366" i="4"/>
  <c r="D365" i="4"/>
  <c r="A368" i="4"/>
  <c r="B367" i="4"/>
  <c r="H364" i="4"/>
  <c r="J363" i="4"/>
  <c r="D366" i="4" l="1"/>
  <c r="C367" i="4"/>
  <c r="F365" i="4"/>
  <c r="J364" i="4"/>
  <c r="H365" i="4"/>
  <c r="B368" i="4"/>
  <c r="A369" i="4"/>
  <c r="H366" i="4" l="1"/>
  <c r="J365" i="4"/>
  <c r="A370" i="4"/>
  <c r="B369" i="4"/>
  <c r="F366" i="4"/>
  <c r="C368" i="4"/>
  <c r="D367" i="4"/>
  <c r="A371" i="4" l="1"/>
  <c r="B370" i="4"/>
  <c r="F367" i="4"/>
  <c r="J366" i="4"/>
  <c r="C369" i="4"/>
  <c r="D368" i="4"/>
  <c r="H367" i="4"/>
  <c r="J367" i="4" l="1"/>
  <c r="H368" i="4"/>
  <c r="F368" i="4"/>
  <c r="C370" i="4"/>
  <c r="D369" i="4"/>
  <c r="B371" i="4"/>
  <c r="A372" i="4"/>
  <c r="D370" i="4" l="1"/>
  <c r="C371" i="4"/>
  <c r="F369" i="4"/>
  <c r="H369" i="4"/>
  <c r="A373" i="4"/>
  <c r="B372" i="4"/>
  <c r="J368" i="4"/>
  <c r="H370" i="4" l="1"/>
  <c r="J369" i="4"/>
  <c r="F370" i="4"/>
  <c r="D371" i="4"/>
  <c r="C372" i="4"/>
  <c r="A374" i="4"/>
  <c r="B373" i="4"/>
  <c r="J370" i="4" l="1"/>
  <c r="F371" i="4"/>
  <c r="A375" i="4"/>
  <c r="B374" i="4"/>
  <c r="D372" i="4"/>
  <c r="C373" i="4"/>
  <c r="H371" i="4"/>
  <c r="B375" i="4" l="1"/>
  <c r="A376" i="4"/>
  <c r="D373" i="4"/>
  <c r="C374" i="4"/>
  <c r="F372" i="4"/>
  <c r="J371" i="4"/>
  <c r="H372" i="4"/>
  <c r="F373" i="4" l="1"/>
  <c r="J372" i="4"/>
  <c r="D374" i="4"/>
  <c r="C375" i="4"/>
  <c r="H373" i="4"/>
  <c r="A377" i="4"/>
  <c r="B376" i="4"/>
  <c r="H374" i="4" l="1"/>
  <c r="C376" i="4"/>
  <c r="D375" i="4"/>
  <c r="J373" i="4"/>
  <c r="B377" i="4"/>
  <c r="A378" i="4"/>
  <c r="F374" i="4"/>
  <c r="J374" i="4" l="1"/>
  <c r="B378" i="4"/>
  <c r="A379" i="4"/>
  <c r="F375" i="4"/>
  <c r="C377" i="4"/>
  <c r="D376" i="4"/>
  <c r="H375" i="4"/>
  <c r="A380" i="4" l="1"/>
  <c r="B379" i="4"/>
  <c r="H376" i="4"/>
  <c r="D377" i="4"/>
  <c r="C378" i="4"/>
  <c r="F376" i="4"/>
  <c r="J375" i="4"/>
  <c r="J376" i="4" l="1"/>
  <c r="F377" i="4"/>
  <c r="D378" i="4"/>
  <c r="C379" i="4"/>
  <c r="H377" i="4"/>
  <c r="B380" i="4"/>
  <c r="A381" i="4"/>
  <c r="H378" i="4" l="1"/>
  <c r="D379" i="4"/>
  <c r="C380" i="4"/>
  <c r="B381" i="4"/>
  <c r="A382" i="4"/>
  <c r="F378" i="4"/>
  <c r="J377" i="4"/>
  <c r="F379" i="4" l="1"/>
  <c r="B382" i="4"/>
  <c r="A383" i="4"/>
  <c r="C381" i="4"/>
  <c r="D380" i="4"/>
  <c r="J378" i="4"/>
  <c r="H379" i="4"/>
  <c r="D381" i="4" l="1"/>
  <c r="C382" i="4"/>
  <c r="H380" i="4"/>
  <c r="B383" i="4"/>
  <c r="A384" i="4"/>
  <c r="F380" i="4"/>
  <c r="J379" i="4"/>
  <c r="B384" i="4" l="1"/>
  <c r="A385" i="4"/>
  <c r="F381" i="4"/>
  <c r="H381" i="4"/>
  <c r="D382" i="4"/>
  <c r="C383" i="4"/>
  <c r="J380" i="4"/>
  <c r="J381" i="4" l="1"/>
  <c r="H382" i="4"/>
  <c r="F382" i="4"/>
  <c r="C384" i="4"/>
  <c r="D383" i="4"/>
  <c r="B385" i="4"/>
  <c r="A386" i="4"/>
  <c r="F383" i="4" l="1"/>
  <c r="B386" i="4"/>
  <c r="A387" i="4"/>
  <c r="H383" i="4"/>
  <c r="J382" i="4"/>
  <c r="D384" i="4"/>
  <c r="C385" i="4"/>
  <c r="C386" i="4" l="1"/>
  <c r="D385" i="4"/>
  <c r="H384" i="4"/>
  <c r="A388" i="4"/>
  <c r="B387" i="4"/>
  <c r="J383" i="4"/>
  <c r="F384" i="4"/>
  <c r="F385" i="4" l="1"/>
  <c r="B388" i="4"/>
  <c r="A389" i="4"/>
  <c r="H385" i="4"/>
  <c r="J384" i="4"/>
  <c r="C387" i="4"/>
  <c r="D386" i="4"/>
  <c r="B389" i="4" l="1"/>
  <c r="A390" i="4"/>
  <c r="H386" i="4"/>
  <c r="D387" i="4"/>
  <c r="C388" i="4"/>
  <c r="J385" i="4"/>
  <c r="F386" i="4"/>
  <c r="D388" i="4" l="1"/>
  <c r="C389" i="4"/>
  <c r="H387" i="4"/>
  <c r="A391" i="4"/>
  <c r="B390" i="4"/>
  <c r="F387" i="4"/>
  <c r="J386" i="4"/>
  <c r="A392" i="4" l="1"/>
  <c r="B391" i="4"/>
  <c r="H388" i="4"/>
  <c r="F388" i="4"/>
  <c r="J387" i="4"/>
  <c r="C390" i="4"/>
  <c r="D389" i="4"/>
  <c r="H389" i="4" l="1"/>
  <c r="J388" i="4"/>
  <c r="F389" i="4"/>
  <c r="D390" i="4"/>
  <c r="C391" i="4"/>
  <c r="A393" i="4"/>
  <c r="B392" i="4"/>
  <c r="J389" i="4" l="1"/>
  <c r="H390" i="4"/>
  <c r="B393" i="4"/>
  <c r="A394" i="4"/>
  <c r="D391" i="4"/>
  <c r="C392" i="4"/>
  <c r="F390" i="4"/>
  <c r="A395" i="4" l="1"/>
  <c r="B394" i="4"/>
  <c r="F391" i="4"/>
  <c r="C393" i="4"/>
  <c r="D392" i="4"/>
  <c r="H391" i="4"/>
  <c r="J390" i="4"/>
  <c r="H392" i="4" l="1"/>
  <c r="C394" i="4"/>
  <c r="D393" i="4"/>
  <c r="F392" i="4"/>
  <c r="J391" i="4"/>
  <c r="A396" i="4"/>
  <c r="B395" i="4"/>
  <c r="F393" i="4" l="1"/>
  <c r="D394" i="4"/>
  <c r="C395" i="4"/>
  <c r="H393" i="4"/>
  <c r="B396" i="4"/>
  <c r="A397" i="4"/>
  <c r="B397" i="4" s="1"/>
  <c r="J392" i="4"/>
  <c r="B19" i="4" l="1"/>
  <c r="D7" i="5" s="1"/>
  <c r="B17" i="4"/>
  <c r="B15" i="4"/>
  <c r="D5" i="5" s="1"/>
  <c r="B13" i="4"/>
  <c r="D3" i="5" s="1"/>
  <c r="B16" i="4"/>
  <c r="D6" i="5" s="1"/>
  <c r="B14" i="4"/>
  <c r="D4" i="5" s="1"/>
  <c r="H394" i="4"/>
  <c r="D395" i="4"/>
  <c r="C396" i="4"/>
  <c r="J393" i="4"/>
  <c r="F394" i="4"/>
  <c r="J394" i="4" l="1"/>
  <c r="H395" i="4"/>
  <c r="D396" i="4"/>
  <c r="C397" i="4"/>
  <c r="D397" i="4" s="1"/>
  <c r="D17" i="4" s="1"/>
  <c r="F395" i="4"/>
  <c r="C17" i="4" l="1"/>
  <c r="D19" i="4"/>
  <c r="E7" i="5" s="1"/>
  <c r="D13" i="4"/>
  <c r="E3" i="5" s="1"/>
  <c r="D15" i="4"/>
  <c r="D16" i="4"/>
  <c r="E6" i="5" s="1"/>
  <c r="D14" i="4"/>
  <c r="E4" i="5" s="1"/>
  <c r="F396" i="4"/>
  <c r="F397" i="4"/>
  <c r="H397" i="4"/>
  <c r="H396" i="4"/>
  <c r="J395" i="4"/>
  <c r="C15" i="4" l="1"/>
  <c r="E5" i="5"/>
  <c r="H17" i="4"/>
  <c r="F17" i="4"/>
  <c r="F19" i="4"/>
  <c r="F7" i="5" s="1"/>
  <c r="H19" i="4"/>
  <c r="G7" i="5" s="1"/>
  <c r="C16" i="4"/>
  <c r="C13" i="4"/>
  <c r="H13" i="4"/>
  <c r="G3" i="5" s="1"/>
  <c r="F13" i="4"/>
  <c r="F3" i="5" s="1"/>
  <c r="F15" i="4"/>
  <c r="F5" i="5" s="1"/>
  <c r="H15" i="4"/>
  <c r="G5" i="5" s="1"/>
  <c r="H16" i="4"/>
  <c r="G6" i="5" s="1"/>
  <c r="F16" i="4"/>
  <c r="F6" i="5" s="1"/>
  <c r="H14" i="4"/>
  <c r="G4" i="5" s="1"/>
  <c r="F14" i="4"/>
  <c r="F4" i="5" s="1"/>
  <c r="C14" i="4"/>
  <c r="J396" i="4"/>
  <c r="J397" i="4"/>
  <c r="G17" i="4" l="1"/>
  <c r="E17" i="4"/>
  <c r="J17" i="4"/>
  <c r="J19" i="4"/>
  <c r="H7" i="5" s="1"/>
  <c r="E14" i="4"/>
  <c r="E16" i="4"/>
  <c r="J13" i="4"/>
  <c r="H3" i="5" s="1"/>
  <c r="J15" i="4"/>
  <c r="G15" i="4"/>
  <c r="E15" i="4"/>
  <c r="J16" i="4"/>
  <c r="H6" i="5" s="1"/>
  <c r="G16" i="4"/>
  <c r="J14" i="4"/>
  <c r="H4" i="5" s="1"/>
  <c r="G13" i="4"/>
  <c r="E13" i="4"/>
  <c r="G14" i="4"/>
  <c r="I15" i="4" l="1"/>
  <c r="H5" i="5"/>
  <c r="I17" i="4"/>
  <c r="I14" i="4"/>
  <c r="I16" i="4"/>
  <c r="I13" i="4"/>
</calcChain>
</file>

<file path=xl/sharedStrings.xml><?xml version="1.0" encoding="utf-8"?>
<sst xmlns="http://schemas.openxmlformats.org/spreadsheetml/2006/main" count="61" uniqueCount="26">
  <si>
    <t>K</t>
  </si>
  <si>
    <t>Delta</t>
  </si>
  <si>
    <t>Min(C,P)/K^2</t>
  </si>
  <si>
    <t>K0</t>
  </si>
  <si>
    <t>K1</t>
  </si>
  <si>
    <t>Call(K1)</t>
  </si>
  <si>
    <t>Call(K0)</t>
  </si>
  <si>
    <t>Put(K1)</t>
  </si>
  <si>
    <t>Put(K0)</t>
  </si>
  <si>
    <t>CBOE VIX</t>
  </si>
  <si>
    <t>Midpoint VIX</t>
  </si>
  <si>
    <t>Note:  F=1, r=0, T=1</t>
  </si>
  <si>
    <t>Volatility (to maturity)</t>
  </si>
  <si>
    <t>Black-Scholes Model:</t>
  </si>
  <si>
    <t>Simpson's VIX</t>
  </si>
  <si>
    <t>Rectangle VIX</t>
  </si>
  <si>
    <t>The CBOE formula is usually less accurate than all others.</t>
  </si>
  <si>
    <t>Errors % ( and Ratios):</t>
  </si>
  <si>
    <t>Just change the three bold values in Column B.</t>
  </si>
  <si>
    <t>Rectangle is the simplest possible formula.</t>
  </si>
  <si>
    <t>Midpoint weights options equally, plus an adjustment term.</t>
  </si>
  <si>
    <t>Simpson's weights options unequally at K0 and K1.</t>
  </si>
  <si>
    <t>proportional errors (estimated/actual - 1)</t>
  </si>
  <si>
    <t># $ &gt; .0001</t>
  </si>
  <si>
    <t># of integrand &gt; .0001</t>
  </si>
  <si>
    <t>unadjusted Simpson's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</si>
</sst>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000000000000"/>
    <numFmt numFmtId="165" formatCode="0.00000%"/>
    <numFmt numFmtId="166" formatCode="0.00000000000%"/>
    <numFmt numFmtId="167" formatCode="0.0000000%"/>
    <numFmt numFmtId="168" formatCode="0.00000000%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5">
    <xf numFmtId="0" fontId="0" fillId="0" borderId="0" xfId="0"/>
    <xf numFmtId="164" fontId="0" fillId="0" borderId="1" xfId="0" applyNumberFormat="1" applyBorder="1"/>
    <xf numFmtId="164" fontId="0" fillId="0" borderId="0" xfId="0" applyNumberFormat="1"/>
    <xf numFmtId="164" fontId="0" fillId="0" borderId="2" xfId="0" applyNumberFormat="1" applyBorder="1"/>
    <xf numFmtId="164" fontId="0" fillId="0" borderId="3" xfId="0" applyNumberFormat="1" applyBorder="1"/>
    <xf numFmtId="164" fontId="0" fillId="0" borderId="4" xfId="0" applyNumberFormat="1" applyBorder="1"/>
    <xf numFmtId="164" fontId="0" fillId="0" borderId="0" xfId="0" applyNumberFormat="1" applyFont="1"/>
    <xf numFmtId="164" fontId="1" fillId="0" borderId="0" xfId="0" applyNumberFormat="1" applyFont="1"/>
    <xf numFmtId="164" fontId="1" fillId="0" borderId="3" xfId="0" applyNumberFormat="1" applyFont="1" applyBorder="1"/>
    <xf numFmtId="164" fontId="1" fillId="0" borderId="1" xfId="0" applyNumberFormat="1" applyFont="1" applyBorder="1"/>
    <xf numFmtId="164" fontId="1" fillId="0" borderId="2" xfId="0" applyNumberFormat="1" applyFont="1" applyBorder="1"/>
    <xf numFmtId="2" fontId="0" fillId="0" borderId="0" xfId="0" applyNumberFormat="1"/>
    <xf numFmtId="2" fontId="0" fillId="0" borderId="0" xfId="1" applyNumberFormat="1" applyFont="1"/>
    <xf numFmtId="166" fontId="0" fillId="0" borderId="0" xfId="1" applyNumberFormat="1" applyFont="1"/>
    <xf numFmtId="165" fontId="1" fillId="0" borderId="0" xfId="1" applyNumberFormat="1" applyFont="1"/>
    <xf numFmtId="2" fontId="2" fillId="0" borderId="0" xfId="1" applyNumberFormat="1" applyFont="1"/>
    <xf numFmtId="10" fontId="1" fillId="0" borderId="0" xfId="1" applyNumberFormat="1" applyFont="1"/>
    <xf numFmtId="166" fontId="2" fillId="0" borderId="0" xfId="1" applyNumberFormat="1" applyFont="1"/>
    <xf numFmtId="168" fontId="2" fillId="0" borderId="0" xfId="1" applyNumberFormat="1" applyFont="1"/>
    <xf numFmtId="167" fontId="2" fillId="0" borderId="0" xfId="1" applyNumberFormat="1" applyFont="1"/>
    <xf numFmtId="0" fontId="1" fillId="0" borderId="0" xfId="0" applyFont="1"/>
    <xf numFmtId="10" fontId="0" fillId="0" borderId="0" xfId="0" applyNumberFormat="1"/>
    <xf numFmtId="164" fontId="1" fillId="0" borderId="0" xfId="0" applyNumberFormat="1" applyFont="1" applyFill="1" applyBorder="1"/>
    <xf numFmtId="10" fontId="1" fillId="0" borderId="0" xfId="0" applyNumberFormat="1" applyFont="1"/>
    <xf numFmtId="164" fontId="1" fillId="0" borderId="0" xfId="0" applyNumberFormat="1" applyFont="1" applyBorder="1"/>
  </cellXfs>
  <cellStyles count="2">
    <cellStyle name="Normal" xfId="0" builtinId="0"/>
    <cellStyle name="Percent" xfId="1" builtinId="5"/>
  </cellStyles>
  <dxfs count="6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67F8F-53FF-4076-9E1D-7602BD77B517}">
  <dimension ref="A1:L397"/>
  <sheetViews>
    <sheetView topLeftCell="D1" zoomScale="160" zoomScaleNormal="160" workbookViewId="0">
      <selection activeCell="J16" sqref="J16"/>
    </sheetView>
  </sheetViews>
  <sheetFormatPr defaultRowHeight="15" x14ac:dyDescent="0.25"/>
  <cols>
    <col min="1" max="1" width="21.140625" bestFit="1" customWidth="1"/>
    <col min="2" max="2" width="19.5703125" bestFit="1" customWidth="1"/>
    <col min="3" max="3" width="19.85546875" bestFit="1" customWidth="1"/>
    <col min="4" max="4" width="19.5703125" bestFit="1" customWidth="1"/>
    <col min="5" max="5" width="19.85546875" bestFit="1" customWidth="1"/>
    <col min="6" max="6" width="19.5703125" bestFit="1" customWidth="1"/>
    <col min="7" max="7" width="18.85546875" bestFit="1" customWidth="1"/>
    <col min="8" max="8" width="19.5703125" bestFit="1" customWidth="1"/>
    <col min="9" max="9" width="18.85546875" bestFit="1" customWidth="1"/>
    <col min="10" max="10" width="19.5703125" bestFit="1" customWidth="1"/>
  </cols>
  <sheetData>
    <row r="1" spans="1:12" x14ac:dyDescent="0.25">
      <c r="A1" s="9" t="s">
        <v>12</v>
      </c>
      <c r="B1" s="8">
        <f>Table!B3</f>
        <v>0.2</v>
      </c>
      <c r="C1" s="2"/>
      <c r="D1" s="2"/>
      <c r="E1" s="2"/>
      <c r="F1" s="2"/>
      <c r="G1" s="2"/>
      <c r="H1" s="2"/>
      <c r="I1" s="2"/>
      <c r="J1" s="2"/>
      <c r="L1" s="20" t="s">
        <v>18</v>
      </c>
    </row>
    <row r="2" spans="1:12" x14ac:dyDescent="0.25">
      <c r="A2" s="10" t="s">
        <v>1</v>
      </c>
      <c r="B2" s="8">
        <f>Table!B4</f>
        <v>0.25</v>
      </c>
      <c r="C2" s="2" t="s">
        <v>1</v>
      </c>
      <c r="D2" s="2">
        <f>B2/2</f>
        <v>0.125</v>
      </c>
      <c r="E2" s="2" t="s">
        <v>1</v>
      </c>
      <c r="F2" s="2">
        <f>D2/2</f>
        <v>6.25E-2</v>
      </c>
      <c r="G2" s="2" t="s">
        <v>1</v>
      </c>
      <c r="H2" s="2">
        <f>F2/2</f>
        <v>3.125E-2</v>
      </c>
      <c r="I2" s="2" t="s">
        <v>1</v>
      </c>
      <c r="J2" s="2">
        <f>H2/2</f>
        <v>1.5625E-2</v>
      </c>
    </row>
    <row r="3" spans="1:12" x14ac:dyDescent="0.25">
      <c r="A3" s="10" t="s">
        <v>3</v>
      </c>
      <c r="B3" s="8">
        <f>Table!B5</f>
        <v>0.77</v>
      </c>
      <c r="C3" s="3" t="s">
        <v>3</v>
      </c>
      <c r="D3" s="4">
        <f>(1+B3)/2</f>
        <v>0.88500000000000001</v>
      </c>
      <c r="E3" s="3" t="s">
        <v>3</v>
      </c>
      <c r="F3" s="4">
        <f>(1+D3)/2</f>
        <v>0.9425</v>
      </c>
      <c r="G3" s="3" t="s">
        <v>3</v>
      </c>
      <c r="H3" s="4">
        <f>(1+F3)/2</f>
        <v>0.97124999999999995</v>
      </c>
      <c r="I3" s="3" t="s">
        <v>3</v>
      </c>
      <c r="J3" s="4">
        <f>(1+H3)/2</f>
        <v>0.98562499999999997</v>
      </c>
    </row>
    <row r="4" spans="1:12" x14ac:dyDescent="0.25">
      <c r="A4" s="5" t="s">
        <v>11</v>
      </c>
      <c r="B4" s="1"/>
      <c r="C4" s="11"/>
      <c r="D4" s="2"/>
      <c r="E4" s="11"/>
      <c r="F4" s="2"/>
      <c r="G4" s="11"/>
      <c r="H4" s="2"/>
      <c r="I4" s="11"/>
      <c r="J4" s="2"/>
    </row>
    <row r="5" spans="1:12" x14ac:dyDescent="0.25">
      <c r="A5" s="2" t="s">
        <v>4</v>
      </c>
      <c r="B5" s="2">
        <f>B3+B2</f>
        <v>1.02</v>
      </c>
      <c r="C5" s="11" t="s">
        <v>4</v>
      </c>
      <c r="D5" s="2">
        <f>D3+D2</f>
        <v>1.01</v>
      </c>
      <c r="E5" s="11" t="s">
        <v>4</v>
      </c>
      <c r="F5" s="2">
        <f>F3+F2</f>
        <v>1.0049999999999999</v>
      </c>
      <c r="G5" s="11" t="s">
        <v>4</v>
      </c>
      <c r="H5" s="2">
        <f>H3+H2</f>
        <v>1.0024999999999999</v>
      </c>
      <c r="I5" s="11" t="s">
        <v>4</v>
      </c>
      <c r="J5" s="2">
        <f>J3+J2</f>
        <v>1.00125</v>
      </c>
    </row>
    <row r="6" spans="1:12" x14ac:dyDescent="0.25">
      <c r="A6" s="2" t="s">
        <v>13</v>
      </c>
      <c r="B6" s="2"/>
      <c r="C6" s="11"/>
      <c r="D6" s="2"/>
      <c r="E6" s="11"/>
      <c r="F6" s="2"/>
      <c r="G6" s="11"/>
      <c r="H6" s="2"/>
      <c r="I6" s="11"/>
      <c r="J6" s="2"/>
    </row>
    <row r="7" spans="1:12" x14ac:dyDescent="0.25">
      <c r="A7" s="2" t="s">
        <v>6</v>
      </c>
      <c r="B7" s="2">
        <f>NORMSDIST((-LN(B$3)+$B$1^2/2)/$B$1)-B$3*NORMSDIST((-LN(B$3)-$B$1^2/2)/$B$1)</f>
        <v>0.237847681501931</v>
      </c>
      <c r="C7" s="11"/>
      <c r="D7" s="2">
        <f>NORMSDIST((-LN(D$3)+$B$1^2/2)/$B$1)-D$3*NORMSDIST((-LN(D$3)-$B$1^2/2)/$B$1)</f>
        <v>0.14609572553140501</v>
      </c>
      <c r="E7" s="11"/>
      <c r="F7" s="2">
        <f>NORMSDIST((-LN(F$3)+$B$1^2/2)/$B$1)-F$3*NORMSDIST((-LN(F$3)-$B$1^2/2)/$B$1)</f>
        <v>0.109470026960393</v>
      </c>
      <c r="G7" s="11"/>
      <c r="H7" s="2">
        <f>NORMSDIST((-LN(H$3)+$B$1^2/2)/$B$1)-H$3*NORMSDIST((-LN(H$3)-$B$1^2/2)/$B$1)</f>
        <v>9.3716424654967795E-2</v>
      </c>
      <c r="I7" s="11"/>
      <c r="J7" s="2">
        <f>NORMSDIST((-LN(J$3)+$B$1^2/2)/$B$1)-J$3*NORMSDIST((-LN(J$3)-$B$1^2/2)/$B$1)</f>
        <v>8.64771128210335E-2</v>
      </c>
    </row>
    <row r="8" spans="1:12" x14ac:dyDescent="0.25">
      <c r="A8" s="2" t="s">
        <v>5</v>
      </c>
      <c r="B8" s="2">
        <f>NORMSDIST((-LN(B5)+$B$1^2/2)/$B$1)-B$5*NORMSDIST((-LN(B5)-$B$1^2/2)/$B$1)</f>
        <v>7.0844942478298797E-2</v>
      </c>
      <c r="C8" s="11"/>
      <c r="D8" s="2">
        <f>NORMSDIST((-LN(D5)+$B$1^2/2)/$B$1)-D$5*NORMSDIST((-LN(D5)-$B$1^2/2)/$B$1)</f>
        <v>7.5152677589693406E-2</v>
      </c>
      <c r="E8" s="11"/>
      <c r="F8" s="2">
        <f>NORMSDIST((-LN(F5)+$B$1^2/2)/$B$1)-F$5*NORMSDIST((-LN(F5)-$B$1^2/2)/$B$1)</f>
        <v>7.7379560161526098E-2</v>
      </c>
      <c r="G8" s="11"/>
      <c r="H8" s="2">
        <f>NORMSDIST((-LN(H5)+$B$1^2/2)/$B$1)-H$5*NORMSDIST((-LN(H5)-$B$1^2/2)/$B$1)</f>
        <v>7.8511438709461395E-2</v>
      </c>
      <c r="I8" s="11"/>
      <c r="J8" s="2">
        <f>NORMSDIST((-LN(J5)+$B$1^2/2)/$B$1)-J$5*NORMSDIST((-LN(J5)-$B$1^2/2)/$B$1)</f>
        <v>7.9082008973138801E-2</v>
      </c>
    </row>
    <row r="9" spans="1:12" x14ac:dyDescent="0.25">
      <c r="A9" s="2" t="s">
        <v>8</v>
      </c>
      <c r="B9" s="2">
        <f>B7+B3-1</f>
        <v>7.8476815019310996E-3</v>
      </c>
      <c r="C9" s="11"/>
      <c r="D9" s="2">
        <f>-NORMSDIST(-(-LN(D3)+$B$1^2/2)/$B$1)+D3*NORMSDIST(-(-LN(D3)-$B$1^2/2)/$B$1)</f>
        <v>3.10957255314054E-2</v>
      </c>
      <c r="E9" s="11"/>
      <c r="F9" s="2">
        <f>-NORMSDIST(-(-LN(F3)+$B$1^2/2)/$B$1)+F3*NORMSDIST(-(-LN(F3)-$B$1^2/2)/$B$1)</f>
        <v>5.1970026960392803E-2</v>
      </c>
      <c r="G9" s="11"/>
      <c r="H9" s="2">
        <f>-NORMSDIST(-(-LN(H3)+$B$1^2/2)/$B$1)+H3*NORMSDIST(-(-LN(H3)-$B$1^2/2)/$B$1)</f>
        <v>6.49664246549677E-2</v>
      </c>
      <c r="I9" s="11"/>
      <c r="J9" s="2">
        <f>-NORMSDIST(-(-LN(J3)+$B$1^2/2)/$B$1)+J3*NORMSDIST(-(-LN(J3)-$B$1^2/2)/$B$1)</f>
        <v>7.2102112821033501E-2</v>
      </c>
    </row>
    <row r="10" spans="1:12" x14ac:dyDescent="0.25">
      <c r="A10" s="2" t="s">
        <v>7</v>
      </c>
      <c r="B10" s="2">
        <f>B8+B5-1</f>
        <v>9.0844942478298898E-2</v>
      </c>
      <c r="C10" s="11"/>
      <c r="D10" s="2">
        <f>-NORMSDIST(-(-LN(D5)+$B$1^2/2)/$B$1)+D5*NORMSDIST(-(-LN(D5)-$B$1^2/2)/$B$1)</f>
        <v>8.5152677589693401E-2</v>
      </c>
      <c r="E10" s="11"/>
      <c r="F10" s="2">
        <f>-NORMSDIST(-(-LN(F5)+$B$1^2/2)/$B$1)+F5*NORMSDIST(-(-LN(F5)-$B$1^2/2)/$B$1)</f>
        <v>8.2379560161526103E-2</v>
      </c>
      <c r="G10" s="11"/>
      <c r="H10" s="2">
        <f>-NORMSDIST(-(-LN(H5)+$B$1^2/2)/$B$1)+H5*NORMSDIST(-(-LN(H5)-$B$1^2/2)/$B$1)</f>
        <v>8.1011438709461397E-2</v>
      </c>
      <c r="I10" s="11"/>
      <c r="J10" s="2">
        <f>-NORMSDIST(-(-LN(J5)+$B$1^2/2)/$B$1)+J5*NORMSDIST(-(-LN(J5)-$B$1^2/2)/$B$1)</f>
        <v>8.0332008973138705E-2</v>
      </c>
    </row>
    <row r="11" spans="1:12" x14ac:dyDescent="0.25">
      <c r="A11" s="2"/>
      <c r="B11" s="2"/>
      <c r="C11" s="11"/>
      <c r="D11" s="2"/>
      <c r="E11" s="11"/>
      <c r="F11" s="2"/>
      <c r="G11" s="11"/>
      <c r="H11" s="2"/>
      <c r="I11" s="11"/>
      <c r="J11" s="2"/>
    </row>
    <row r="12" spans="1:12" x14ac:dyDescent="0.25">
      <c r="A12" s="7" t="s">
        <v>17</v>
      </c>
      <c r="B12" s="2"/>
      <c r="C12" s="11"/>
      <c r="D12" s="2"/>
      <c r="E12" s="11"/>
      <c r="F12" s="2"/>
      <c r="G12" s="11"/>
      <c r="H12" s="2"/>
      <c r="I12" s="11"/>
      <c r="J12" s="2"/>
    </row>
    <row r="13" spans="1:12" x14ac:dyDescent="0.25">
      <c r="A13" s="7" t="s">
        <v>9</v>
      </c>
      <c r="B13" s="16">
        <f>SQRT(2*SUM(B22:B397)*B2+(B7-B9)/B3^2*B2-(1/B3-1)^2)/$B$1-1</f>
        <v>0.14879999999999999</v>
      </c>
      <c r="C13" s="12">
        <f>B13/D13</f>
        <v>4.28</v>
      </c>
      <c r="D13" s="14">
        <f>SQRT(2*SUM(D22:D397)*D2+(D7-D9)/D3^2*D2-(1/D3-1)^2)/$B$1-1</f>
        <v>3.4800299999999999E-2</v>
      </c>
      <c r="E13" s="15">
        <f>D13/F13</f>
        <v>4.13</v>
      </c>
      <c r="F13" s="19">
        <f>SQRT(2*SUM(F22:F397)*F2+(F7-F9)/F3^2*F2-(1/F3-1)^2)/$B$1-1</f>
        <v>8.4209320000000008E-3</v>
      </c>
      <c r="G13" s="15">
        <f>F13/H13</f>
        <v>4.07</v>
      </c>
      <c r="H13" s="18">
        <f>SQRT(2*SUM(H22:H397)*H2+(H7-H9)/H3^2*H2-(1/H3-1)^2)/$B$1-1</f>
        <v>2.0701251E-3</v>
      </c>
      <c r="I13" s="15">
        <f>H13/J13</f>
        <v>4.03</v>
      </c>
      <c r="J13" s="17">
        <f>SQRT(2*SUM(J22:J397)*J2+(J7-J9)/J3^2*J2-(1/J3-1)^2)/$B$1-1</f>
        <v>5.130978543E-4</v>
      </c>
      <c r="L13" s="20" t="s">
        <v>16</v>
      </c>
    </row>
    <row r="14" spans="1:12" x14ac:dyDescent="0.25">
      <c r="A14" s="7" t="s">
        <v>15</v>
      </c>
      <c r="B14" s="16">
        <f>SQRT(2*SUM(B22:B397)*B2)/$B$1-1</f>
        <v>6.0999999999999999E-2</v>
      </c>
      <c r="C14" s="12">
        <f>B14/D14</f>
        <v>3.61</v>
      </c>
      <c r="D14" s="14">
        <f>SQRT(2*SUM(D22:D397)*D2)/$B$1-1</f>
        <v>1.6909199999999999E-2</v>
      </c>
      <c r="E14" s="12">
        <f>D14/F14</f>
        <v>3.84</v>
      </c>
      <c r="F14" s="19">
        <f>SQRT(2*SUM(F22:F397)*F2)/$B$1-1</f>
        <v>4.4010819999999997E-3</v>
      </c>
      <c r="G14" s="12">
        <f>F14/H14</f>
        <v>3.93</v>
      </c>
      <c r="H14" s="18">
        <f>SQRT(2*SUM(H22:H397)*H2)/$B$1-1</f>
        <v>1.1192273999999999E-3</v>
      </c>
      <c r="I14" s="12">
        <f>H14/J14</f>
        <v>3.97</v>
      </c>
      <c r="J14" s="13">
        <f>SQRT(2*SUM(J22:J397)*J2)/$B$1-1</f>
        <v>2.8198087999999999E-4</v>
      </c>
      <c r="L14" s="20" t="s">
        <v>19</v>
      </c>
    </row>
    <row r="15" spans="1:12" x14ac:dyDescent="0.25">
      <c r="A15" s="7" t="s">
        <v>10</v>
      </c>
      <c r="B15" s="16">
        <f>SQRT(2*SUM(B22:B397)*B2-LN(B3*B5)-2*(1/SQRT(B3*B5)-1)+B2^2/12)/$B$1-1</f>
        <v>-6.4000000000000001E-2</v>
      </c>
      <c r="C15" s="12">
        <f>B15/D15</f>
        <v>9.42</v>
      </c>
      <c r="D15" s="14">
        <f>SQRT(2*SUM(D22:D397)*D2-LN(D3*D5)-2*(1/SQRT(D3*D5)-1)+D2^2/12)/$B$1-1</f>
        <v>-6.7935000000000001E-3</v>
      </c>
      <c r="E15" s="15">
        <f>D15/F15</f>
        <v>8.5399999999999991</v>
      </c>
      <c r="F15" s="19">
        <f>SQRT(2*SUM(F22:F397)*F2-LN(F3*F5)-2*(1/SQRT(F3*F5)-1)+F2^2/12)/$B$1-1</f>
        <v>-7.9508499999999995E-4</v>
      </c>
      <c r="G15" s="15">
        <f>F15/H15</f>
        <v>8.25</v>
      </c>
      <c r="H15" s="18">
        <f>SQRT(2*SUM(H22:H397)*H2-LN(H3*H5)-2*(1/SQRT(H3*H5)-1)+H2^2/12)/$B$1-1</f>
        <v>-9.6344100000000005E-5</v>
      </c>
      <c r="I15" s="15">
        <f>H15/J15</f>
        <v>8.1199999999999992</v>
      </c>
      <c r="J15" s="17">
        <f>SQRT(2*SUM(J22:J397)*J2-LN(J3*J5)-2*(1/SQRT(J3*J5)-1)+J2^2/12)/$B$1-1</f>
        <v>-1.18606294E-5</v>
      </c>
      <c r="L15" s="20" t="s">
        <v>20</v>
      </c>
    </row>
    <row r="16" spans="1:12" x14ac:dyDescent="0.25">
      <c r="A16" s="7" t="s">
        <v>14</v>
      </c>
      <c r="B16" s="16">
        <f>SQRT(2*SUM(B22:B397)*B2+((B7-B9)/B3^2+(B10-B8)/B5^2)*B2/3-LN(B3)-1/B3-LN(B5)-1/B5+2-B2^4/5)/$B$1-1</f>
        <v>8.0000000000000002E-3</v>
      </c>
      <c r="C16" s="12">
        <f>B16/D16</f>
        <v>38.869999999999997</v>
      </c>
      <c r="D16" s="14">
        <f>SQRT(2*SUM(D22:D397)*D2+((D7-D9)/D3^2+(D10-D8)/D5^2)*D2/3-LN(D3)-1/D3-LN(D5)-1/D5+2-D2^4/5)/$B$1-1</f>
        <v>2.0579999999999999E-4</v>
      </c>
      <c r="E16" s="12">
        <f>D16/F16</f>
        <v>35.22</v>
      </c>
      <c r="F16" s="19">
        <f>SQRT(2*SUM(F22:F397)*F2+((F7-F9)/F3^2+(F10-F8)/F5^2)*F2/3-LN(F3)-1/F3-LN(F5)-1/F5+2-F2^4/5)/$B$1-1</f>
        <v>5.8440000000000003E-6</v>
      </c>
      <c r="G16" s="15">
        <f>F16/H16</f>
        <v>33.49</v>
      </c>
      <c r="H16" s="18">
        <f>SQRT(2*SUM(H22:H397)*H2+((H7-H9)/H3^2+(H10-H8)/H5^2)*H2/3-LN(H3)-1/H3-LN(H5)-1/H5+2-H2^4/5)/$B$1-1</f>
        <v>1.7450000000000001E-7</v>
      </c>
      <c r="I16" s="15">
        <f>H16/J16</f>
        <v>32.729999999999997</v>
      </c>
      <c r="J16" s="17">
        <f>SQRT(2*SUM(J22:J397)*J2+((J7-J9)/J3^2+(J10-J8)/J5^2)*J2/3-LN(J3)-1/J3-LN(J5)-1/J5+2-J2^4/5)/$B$1-1</f>
        <v>5.3316000000000001E-9</v>
      </c>
      <c r="L16" s="20" t="s">
        <v>21</v>
      </c>
    </row>
    <row r="17" spans="1:12" s="21" customFormat="1" x14ac:dyDescent="0.25">
      <c r="A17" s="23" t="s">
        <v>25</v>
      </c>
      <c r="B17" s="16">
        <f>SQRT(2*SUM(B22:B397)*B2+((B7-B9)/B3^2+(B10-B8)/B5^2)*B2/3-LN(B3)-1/B3-LN(B5)-1/B5+2-0*B2^4/5)/$B$1-1</f>
        <v>1.77E-2</v>
      </c>
      <c r="C17" s="12">
        <f>B17/D17</f>
        <v>22.13</v>
      </c>
      <c r="D17" s="16">
        <f>SQRT(2*SUM(D22:D397)*D2+((D7-D9)/D3^2+(D10-D8)/D5^2)*D2/3-LN(D3)-1/D3-LN(D5)-1/D5+2-0*D2^4/5)/$B$1-1</f>
        <v>8.0000000000000004E-4</v>
      </c>
      <c r="E17" s="12" t="e">
        <f>D17/F17</f>
        <v>#DIV/0!</v>
      </c>
      <c r="F17" s="16">
        <f>SQRT(2*SUM(F22:F397)*F2+((F7-F9)/F3^2+(F10-F8)/F5^2)*F2/3-LN(F3)-1/F3-LN(F5)-1/F5+2-0*F2^4/5)/$B$1-1</f>
        <v>0</v>
      </c>
      <c r="G17" s="12" t="e">
        <f>F17/H17</f>
        <v>#DIV/0!</v>
      </c>
      <c r="H17" s="16">
        <f>SQRT(2*SUM(H22:H397)*H2+((H7-H9)/H3^2+(H10-H8)/H5^2)*H2/3-LN(H3)-1/H3-LN(H5)-1/H5+2-0*H2^4/5)/$B$1-1</f>
        <v>0</v>
      </c>
      <c r="I17" s="12" t="e">
        <f>H17/J17</f>
        <v>#DIV/0!</v>
      </c>
      <c r="J17" s="16">
        <f>SQRT(2*SUM(J22:J397)*J2+((J7-J9)/J3^2+(J10-J8)/J5^2)*J2/3-LN(J3)-1/J3-LN(J5)-1/J5+2-0*J2^4/5)/$B$1-1</f>
        <v>0</v>
      </c>
      <c r="L17" s="23"/>
    </row>
    <row r="18" spans="1:12" x14ac:dyDescent="0.25">
      <c r="A18" s="7"/>
      <c r="B18" s="16"/>
      <c r="C18" s="12"/>
      <c r="D18" s="14"/>
      <c r="E18" s="12"/>
      <c r="F18" s="14"/>
      <c r="G18" s="15"/>
      <c r="H18" s="14"/>
      <c r="I18" s="15"/>
      <c r="J18" s="14"/>
      <c r="L18" s="20"/>
    </row>
    <row r="19" spans="1:12" x14ac:dyDescent="0.25">
      <c r="A19" s="7" t="s">
        <v>24</v>
      </c>
      <c r="B19">
        <f>COUNTIF(B22:B397,"&gt;.0001")</f>
        <v>4</v>
      </c>
      <c r="C19" s="12"/>
      <c r="D19">
        <f>COUNTIF(D22:D397,"&gt;.0001")</f>
        <v>9</v>
      </c>
      <c r="E19" s="12"/>
      <c r="F19">
        <f>COUNTIF(F22:F397,"&gt;.0001")</f>
        <v>19</v>
      </c>
      <c r="G19" s="15"/>
      <c r="H19">
        <f>COUNTIF(H22:H397,"&gt;.0001")</f>
        <v>38</v>
      </c>
      <c r="I19" s="15"/>
      <c r="J19">
        <f>COUNTIF(J22:J397,"&gt;.0001")</f>
        <v>76</v>
      </c>
      <c r="L19" s="20"/>
    </row>
    <row r="20" spans="1:12" x14ac:dyDescent="0.25">
      <c r="A20" s="2"/>
      <c r="C20" s="11"/>
      <c r="D20" s="2"/>
      <c r="E20" s="11"/>
      <c r="F20" s="2"/>
      <c r="G20" s="11"/>
      <c r="H20" s="2"/>
      <c r="I20" s="2"/>
      <c r="J20" s="2"/>
      <c r="L20">
        <f>COUNTIF(L23:L398,"&gt;.0001")</f>
        <v>0</v>
      </c>
    </row>
    <row r="21" spans="1:12" x14ac:dyDescent="0.25">
      <c r="A21" s="2" t="s">
        <v>0</v>
      </c>
      <c r="B21" s="2" t="s">
        <v>2</v>
      </c>
      <c r="C21" s="2" t="s">
        <v>0</v>
      </c>
      <c r="D21" s="2" t="s">
        <v>2</v>
      </c>
      <c r="E21" s="2" t="s">
        <v>0</v>
      </c>
      <c r="F21" s="2" t="s">
        <v>2</v>
      </c>
      <c r="G21" s="2" t="s">
        <v>0</v>
      </c>
      <c r="H21" s="2" t="s">
        <v>2</v>
      </c>
      <c r="I21" s="2" t="s">
        <v>0</v>
      </c>
      <c r="J21" s="2" t="s">
        <v>2</v>
      </c>
    </row>
    <row r="22" spans="1:12" x14ac:dyDescent="0.25">
      <c r="A22" s="2">
        <f>B$3-FLOOR(B$3,B$2)</f>
        <v>0.02</v>
      </c>
      <c r="B22" s="2">
        <v>0</v>
      </c>
      <c r="C22" s="2">
        <f>D3-FLOOR(D3,D2)</f>
        <v>0.01</v>
      </c>
      <c r="D22" s="2">
        <v>0</v>
      </c>
      <c r="E22" s="2">
        <f>F3-FLOOR(F3,F2)</f>
        <v>5.0000000000000001E-3</v>
      </c>
      <c r="F22" s="2">
        <v>0</v>
      </c>
      <c r="G22" s="2">
        <f>H3-FLOOR(H3,H2)</f>
        <v>2.5000000000000001E-3</v>
      </c>
      <c r="H22" s="2">
        <v>0</v>
      </c>
      <c r="I22" s="2">
        <f>J3-FLOOR(J3,J2)</f>
        <v>1.25E-3</v>
      </c>
      <c r="J22" s="2">
        <v>0</v>
      </c>
    </row>
    <row r="23" spans="1:12" x14ac:dyDescent="0.25">
      <c r="A23" s="2">
        <f>A22+B$2</f>
        <v>0.27</v>
      </c>
      <c r="B23" s="2">
        <f t="shared" ref="B23" si="0">MIN(NORMSDIST((-LN(A23)+$B$1^2/2)/$B$1)-A23*NORMSDIST((-LN(A23)-$B$1^2/2)/$B$1),-NORMSDIST(-(-LN(A23)+$B$1^2/2)/$B$1)+A23*NORMSDIST(-(-LN(A23)-$B$1^2/2)/$B$1))/A23^2</f>
        <v>6.1073999999999996E-12</v>
      </c>
      <c r="C23" s="2">
        <f>C22+D$2</f>
        <v>0.13500000000000001</v>
      </c>
      <c r="D23" s="2">
        <f t="shared" ref="D23" si="1">MIN(NORMSDIST((-LN(C23)+$B$1^2/2)/$B$1)-C23*NORMSDIST((-LN(C23)-$B$1^2/2)/$B$1),-NORMSDIST(-(-LN(C23)+$B$1^2/2)/$B$1)+C23*NORMSDIST(-(-LN(C23)-$B$1^2/2)/$B$1))/C23^2</f>
        <v>0</v>
      </c>
      <c r="E23" s="2">
        <f>E22+F$2</f>
        <v>6.7500000000000004E-2</v>
      </c>
      <c r="F23" s="2">
        <f t="shared" ref="F23" si="2">MIN(NORMSDIST((-LN(E23)+$B$1^2/2)/$B$1)-E23*NORMSDIST((-LN(E23)-$B$1^2/2)/$B$1),-NORMSDIST(-(-LN(E23)+$B$1^2/2)/$B$1)+E23*NORMSDIST(-(-LN(E23)-$B$1^2/2)/$B$1))/E23^2</f>
        <v>0</v>
      </c>
      <c r="G23" s="2">
        <f>G22+H$2</f>
        <v>3.3750000000000002E-2</v>
      </c>
      <c r="H23" s="2">
        <f t="shared" ref="H23" si="3">MIN(NORMSDIST((-LN(G23)+$B$1^2/2)/$B$1)-G23*NORMSDIST((-LN(G23)-$B$1^2/2)/$B$1),-NORMSDIST(-(-LN(G23)+$B$1^2/2)/$B$1)+G23*NORMSDIST(-(-LN(G23)-$B$1^2/2)/$B$1))/G23^2</f>
        <v>0</v>
      </c>
      <c r="I23" s="2">
        <f>I22+J$2</f>
        <v>1.6875000000000001E-2</v>
      </c>
      <c r="J23" s="2">
        <f t="shared" ref="J23" si="4">MIN(NORMSDIST((-LN(I23)+$B$1^2/2)/$B$1)-I23*NORMSDIST((-LN(I23)-$B$1^2/2)/$B$1),-NORMSDIST(-(-LN(I23)+$B$1^2/2)/$B$1)+I23*NORMSDIST(-(-LN(I23)-$B$1^2/2)/$B$1))/I23^2</f>
        <v>0</v>
      </c>
    </row>
    <row r="24" spans="1:12" x14ac:dyDescent="0.25">
      <c r="A24" s="2">
        <f t="shared" ref="A24:A74" si="5">A23+B$2</f>
        <v>0.52</v>
      </c>
      <c r="B24" s="2">
        <f t="shared" ref="B24:B74" si="6">MIN(NORMSDIST((-LN(A24)+$B$1^2/2)/$B$1)-A24*NORMSDIST((-LN(A24)-$B$1^2/2)/$B$1),-NORMSDIST(-(-LN(A24)+$B$1^2/2)/$B$1)+A24*NORMSDIST(-(-LN(A24)-$B$1^2/2)/$B$1))/A24^2</f>
        <v>7.5814858875599997E-5</v>
      </c>
      <c r="C24" s="2">
        <f t="shared" ref="C24:I74" si="7">C23+D$2</f>
        <v>0.26</v>
      </c>
      <c r="D24" s="2">
        <f t="shared" ref="D24:D74" si="8">MIN(NORMSDIST((-LN(C24)+$B$1^2/2)/$B$1)-C24*NORMSDIST((-LN(C24)-$B$1^2/2)/$B$1),-NORMSDIST(-(-LN(C24)+$B$1^2/2)/$B$1)+C24*NORMSDIST(-(-LN(C24)-$B$1^2/2)/$B$1))/C24^2</f>
        <v>1.7496999999999999E-12</v>
      </c>
      <c r="E24" s="2">
        <f t="shared" si="7"/>
        <v>0.13</v>
      </c>
      <c r="F24" s="2">
        <f t="shared" ref="F24:F74" si="9">MIN(NORMSDIST((-LN(E24)+$B$1^2/2)/$B$1)-E24*NORMSDIST((-LN(E24)-$B$1^2/2)/$B$1),-NORMSDIST(-(-LN(E24)+$B$1^2/2)/$B$1)+E24*NORMSDIST(-(-LN(E24)-$B$1^2/2)/$B$1))/E24^2</f>
        <v>0</v>
      </c>
      <c r="G24" s="2">
        <f t="shared" si="7"/>
        <v>6.5000000000000002E-2</v>
      </c>
      <c r="H24" s="2">
        <f t="shared" ref="H24:H74" si="10">MIN(NORMSDIST((-LN(G24)+$B$1^2/2)/$B$1)-G24*NORMSDIST((-LN(G24)-$B$1^2/2)/$B$1),-NORMSDIST(-(-LN(G24)+$B$1^2/2)/$B$1)+G24*NORMSDIST(-(-LN(G24)-$B$1^2/2)/$B$1))/G24^2</f>
        <v>0</v>
      </c>
      <c r="I24" s="2">
        <f t="shared" si="7"/>
        <v>3.2500000000000001E-2</v>
      </c>
      <c r="J24" s="2">
        <f t="shared" ref="J24:J74" si="11">MIN(NORMSDIST((-LN(I24)+$B$1^2/2)/$B$1)-I24*NORMSDIST((-LN(I24)-$B$1^2/2)/$B$1),-NORMSDIST(-(-LN(I24)+$B$1^2/2)/$B$1)+I24*NORMSDIST(-(-LN(I24)-$B$1^2/2)/$B$1))/I24^2</f>
        <v>0</v>
      </c>
    </row>
    <row r="25" spans="1:12" x14ac:dyDescent="0.25">
      <c r="A25" s="2">
        <f t="shared" si="5"/>
        <v>0.77</v>
      </c>
      <c r="B25" s="2">
        <f t="shared" si="6"/>
        <v>1.3236096309548501E-2</v>
      </c>
      <c r="C25" s="2">
        <f t="shared" si="7"/>
        <v>0.38500000000000001</v>
      </c>
      <c r="D25" s="2">
        <f t="shared" si="8"/>
        <v>1.4720924239999999E-7</v>
      </c>
      <c r="E25" s="2">
        <f t="shared" si="7"/>
        <v>0.1925</v>
      </c>
      <c r="F25" s="2">
        <f t="shared" si="9"/>
        <v>0</v>
      </c>
      <c r="G25" s="2">
        <f t="shared" si="7"/>
        <v>9.6250000000000002E-2</v>
      </c>
      <c r="H25" s="2">
        <f t="shared" si="10"/>
        <v>0</v>
      </c>
      <c r="I25" s="2">
        <f t="shared" si="7"/>
        <v>4.8125000000000001E-2</v>
      </c>
      <c r="J25" s="2">
        <f t="shared" si="11"/>
        <v>0</v>
      </c>
    </row>
    <row r="26" spans="1:12" x14ac:dyDescent="0.25">
      <c r="A26" s="2">
        <f t="shared" si="5"/>
        <v>1.02</v>
      </c>
      <c r="B26" s="2">
        <f t="shared" si="6"/>
        <v>6.8093947018741594E-2</v>
      </c>
      <c r="C26" s="2">
        <f t="shared" si="7"/>
        <v>0.51</v>
      </c>
      <c r="D26" s="2">
        <f t="shared" si="8"/>
        <v>5.3894453946099998E-5</v>
      </c>
      <c r="E26" s="2">
        <f t="shared" si="7"/>
        <v>0.255</v>
      </c>
      <c r="F26" s="2">
        <f t="shared" si="9"/>
        <v>9.0750000000000002E-13</v>
      </c>
      <c r="G26" s="2">
        <f t="shared" si="7"/>
        <v>0.1275</v>
      </c>
      <c r="H26" s="2">
        <f t="shared" si="10"/>
        <v>0</v>
      </c>
      <c r="I26" s="2">
        <f t="shared" si="7"/>
        <v>6.3750000000000001E-2</v>
      </c>
      <c r="J26" s="2">
        <f t="shared" si="11"/>
        <v>0</v>
      </c>
    </row>
    <row r="27" spans="1:12" x14ac:dyDescent="0.25">
      <c r="A27" s="2">
        <f t="shared" si="5"/>
        <v>1.27</v>
      </c>
      <c r="B27" s="2">
        <f t="shared" si="6"/>
        <v>7.8925988442497003E-3</v>
      </c>
      <c r="C27" s="2">
        <f t="shared" si="7"/>
        <v>0.63500000000000001</v>
      </c>
      <c r="D27" s="2">
        <f t="shared" si="8"/>
        <v>1.570170446143E-3</v>
      </c>
      <c r="E27" s="2">
        <f t="shared" si="7"/>
        <v>0.3175</v>
      </c>
      <c r="F27" s="2">
        <f t="shared" si="9"/>
        <v>8.8809809999999998E-10</v>
      </c>
      <c r="G27" s="2">
        <f t="shared" si="7"/>
        <v>0.15875</v>
      </c>
      <c r="H27" s="2">
        <f t="shared" si="10"/>
        <v>0</v>
      </c>
      <c r="I27" s="2">
        <f t="shared" si="7"/>
        <v>7.9375000000000001E-2</v>
      </c>
      <c r="J27" s="2">
        <f t="shared" si="11"/>
        <v>0</v>
      </c>
    </row>
    <row r="28" spans="1:12" x14ac:dyDescent="0.25">
      <c r="A28" s="2">
        <f t="shared" si="5"/>
        <v>1.52</v>
      </c>
      <c r="B28" s="2">
        <f t="shared" si="6"/>
        <v>6.9992949170069997E-4</v>
      </c>
      <c r="C28" s="2">
        <f t="shared" si="7"/>
        <v>0.76</v>
      </c>
      <c r="D28" s="2">
        <f t="shared" si="8"/>
        <v>1.17232461784009E-2</v>
      </c>
      <c r="E28" s="2">
        <f t="shared" si="7"/>
        <v>0.38</v>
      </c>
      <c r="F28" s="2">
        <f t="shared" si="9"/>
        <v>1.07012682E-7</v>
      </c>
      <c r="G28" s="2">
        <f t="shared" si="7"/>
        <v>0.19</v>
      </c>
      <c r="H28" s="2">
        <f t="shared" si="10"/>
        <v>0</v>
      </c>
      <c r="I28" s="2">
        <f t="shared" si="7"/>
        <v>9.5000000000000001E-2</v>
      </c>
      <c r="J28" s="2">
        <f t="shared" si="11"/>
        <v>0</v>
      </c>
    </row>
    <row r="29" spans="1:12" x14ac:dyDescent="0.25">
      <c r="A29" s="2">
        <f t="shared" si="5"/>
        <v>1.77</v>
      </c>
      <c r="B29" s="2">
        <f t="shared" si="6"/>
        <v>5.3460270712800002E-5</v>
      </c>
      <c r="C29" s="2">
        <f t="shared" si="7"/>
        <v>0.88500000000000001</v>
      </c>
      <c r="D29" s="2">
        <f t="shared" si="8"/>
        <v>3.9702161615634599E-2</v>
      </c>
      <c r="E29" s="2">
        <f t="shared" si="7"/>
        <v>0.4425</v>
      </c>
      <c r="F29" s="2">
        <f t="shared" si="9"/>
        <v>3.4325968205E-6</v>
      </c>
      <c r="G29" s="2">
        <f t="shared" si="7"/>
        <v>0.22125</v>
      </c>
      <c r="H29" s="2">
        <f t="shared" si="10"/>
        <v>5.7000000000000003E-15</v>
      </c>
      <c r="I29" s="2">
        <f t="shared" si="7"/>
        <v>0.110625</v>
      </c>
      <c r="J29" s="2">
        <f t="shared" si="11"/>
        <v>0</v>
      </c>
    </row>
    <row r="30" spans="1:12" x14ac:dyDescent="0.25">
      <c r="A30" s="2">
        <f t="shared" si="5"/>
        <v>2.02</v>
      </c>
      <c r="B30" s="2">
        <f t="shared" si="6"/>
        <v>3.8131035310000002E-6</v>
      </c>
      <c r="C30" s="2">
        <f t="shared" si="7"/>
        <v>1.01</v>
      </c>
      <c r="D30" s="2">
        <f t="shared" si="8"/>
        <v>7.3671872943528505E-2</v>
      </c>
      <c r="E30" s="2">
        <f t="shared" si="7"/>
        <v>0.505</v>
      </c>
      <c r="F30" s="2">
        <f t="shared" si="9"/>
        <v>4.5179788898700003E-5</v>
      </c>
      <c r="G30" s="2">
        <f t="shared" si="7"/>
        <v>0.2525</v>
      </c>
      <c r="H30" s="2">
        <f t="shared" si="10"/>
        <v>6.4810000000000004E-13</v>
      </c>
      <c r="I30" s="2">
        <f t="shared" si="7"/>
        <v>0.12625</v>
      </c>
      <c r="J30" s="2">
        <f t="shared" si="11"/>
        <v>0</v>
      </c>
    </row>
    <row r="31" spans="1:12" x14ac:dyDescent="0.25">
      <c r="A31" s="2">
        <f t="shared" si="5"/>
        <v>2.27</v>
      </c>
      <c r="B31" s="2">
        <f t="shared" si="6"/>
        <v>2.671132387E-7</v>
      </c>
      <c r="C31" s="2">
        <f t="shared" si="7"/>
        <v>1.135</v>
      </c>
      <c r="D31" s="2">
        <f t="shared" si="8"/>
        <v>2.6352059923069101E-2</v>
      </c>
      <c r="E31" s="2">
        <f t="shared" si="7"/>
        <v>0.5675</v>
      </c>
      <c r="F31" s="2">
        <f t="shared" si="9"/>
        <v>3.176621110549E-4</v>
      </c>
      <c r="G31" s="2">
        <f t="shared" si="7"/>
        <v>0.28375</v>
      </c>
      <c r="H31" s="2">
        <f t="shared" si="10"/>
        <v>3.00417E-11</v>
      </c>
      <c r="I31" s="2">
        <f t="shared" si="7"/>
        <v>0.141875</v>
      </c>
      <c r="J31" s="2">
        <f t="shared" si="11"/>
        <v>0</v>
      </c>
    </row>
    <row r="32" spans="1:12" x14ac:dyDescent="0.25">
      <c r="A32" s="2">
        <f t="shared" si="5"/>
        <v>2.52</v>
      </c>
      <c r="B32" s="2">
        <f t="shared" si="6"/>
        <v>1.89502246E-8</v>
      </c>
      <c r="C32" s="2">
        <f t="shared" si="7"/>
        <v>1.26</v>
      </c>
      <c r="D32" s="2">
        <f t="shared" si="8"/>
        <v>8.6552347749578994E-3</v>
      </c>
      <c r="E32" s="2">
        <f t="shared" si="7"/>
        <v>0.63</v>
      </c>
      <c r="F32" s="2">
        <f t="shared" si="9"/>
        <v>1.4156360045948001E-3</v>
      </c>
      <c r="G32" s="2">
        <f t="shared" si="7"/>
        <v>0.315</v>
      </c>
      <c r="H32" s="2">
        <f t="shared" si="10"/>
        <v>7.0678400000000005E-10</v>
      </c>
      <c r="I32" s="2">
        <f t="shared" si="7"/>
        <v>0.1575</v>
      </c>
      <c r="J32" s="2">
        <f t="shared" si="11"/>
        <v>0</v>
      </c>
    </row>
    <row r="33" spans="1:10" x14ac:dyDescent="0.25">
      <c r="A33" s="2">
        <f t="shared" si="5"/>
        <v>2.77</v>
      </c>
      <c r="B33" s="2">
        <f t="shared" si="6"/>
        <v>1.3869524E-9</v>
      </c>
      <c r="C33" s="2">
        <f t="shared" si="7"/>
        <v>1.385</v>
      </c>
      <c r="D33" s="2">
        <f t="shared" si="8"/>
        <v>2.6558024779980002E-3</v>
      </c>
      <c r="E33" s="2">
        <f t="shared" si="7"/>
        <v>0.6925</v>
      </c>
      <c r="F33" s="2">
        <f t="shared" si="9"/>
        <v>4.4914159048876998E-3</v>
      </c>
      <c r="G33" s="2">
        <f t="shared" si="7"/>
        <v>0.34625</v>
      </c>
      <c r="H33" s="2">
        <f t="shared" si="10"/>
        <v>9.8552834000000006E-9</v>
      </c>
      <c r="I33" s="2">
        <f t="shared" si="7"/>
        <v>0.173125</v>
      </c>
      <c r="J33" s="2">
        <f t="shared" si="11"/>
        <v>0</v>
      </c>
    </row>
    <row r="34" spans="1:10" x14ac:dyDescent="0.25">
      <c r="A34" s="2">
        <f t="shared" si="5"/>
        <v>3.02</v>
      </c>
      <c r="B34" s="2">
        <f t="shared" si="6"/>
        <v>1.058717E-10</v>
      </c>
      <c r="C34" s="2">
        <f t="shared" si="7"/>
        <v>1.51</v>
      </c>
      <c r="D34" s="2">
        <f t="shared" si="8"/>
        <v>7.7388332992459996E-4</v>
      </c>
      <c r="E34" s="2">
        <f t="shared" si="7"/>
        <v>0.755</v>
      </c>
      <c r="F34" s="2">
        <f t="shared" si="9"/>
        <v>1.1012696151466401E-2</v>
      </c>
      <c r="G34" s="2">
        <f t="shared" si="7"/>
        <v>0.3775</v>
      </c>
      <c r="H34" s="2">
        <f t="shared" si="10"/>
        <v>9.0957844399999996E-8</v>
      </c>
      <c r="I34" s="2">
        <f t="shared" si="7"/>
        <v>0.18875</v>
      </c>
      <c r="J34" s="2">
        <f t="shared" si="11"/>
        <v>0</v>
      </c>
    </row>
    <row r="35" spans="1:10" x14ac:dyDescent="0.25">
      <c r="A35" s="2">
        <f t="shared" si="5"/>
        <v>3.27</v>
      </c>
      <c r="B35" s="2">
        <f t="shared" si="6"/>
        <v>8.4813000000000002E-12</v>
      </c>
      <c r="C35" s="2">
        <f t="shared" si="7"/>
        <v>1.635</v>
      </c>
      <c r="D35" s="2">
        <f t="shared" si="8"/>
        <v>2.1716318302859999E-4</v>
      </c>
      <c r="E35" s="2">
        <f t="shared" si="7"/>
        <v>0.8175</v>
      </c>
      <c r="F35" s="2">
        <f t="shared" si="9"/>
        <v>2.2152000058282401E-2</v>
      </c>
      <c r="G35" s="2">
        <f t="shared" si="7"/>
        <v>0.40875</v>
      </c>
      <c r="H35" s="2">
        <f t="shared" si="10"/>
        <v>6.0259680449999996E-7</v>
      </c>
      <c r="I35" s="2">
        <f t="shared" si="7"/>
        <v>0.204375</v>
      </c>
      <c r="J35" s="2">
        <f t="shared" si="11"/>
        <v>2.9999999999999999E-16</v>
      </c>
    </row>
    <row r="36" spans="1:10" x14ac:dyDescent="0.25">
      <c r="A36" s="2">
        <f t="shared" si="5"/>
        <v>3.52</v>
      </c>
      <c r="B36" s="2">
        <f t="shared" si="6"/>
        <v>7.1529999999999999E-13</v>
      </c>
      <c r="C36" s="2">
        <f t="shared" si="7"/>
        <v>1.76</v>
      </c>
      <c r="D36" s="2">
        <f t="shared" si="8"/>
        <v>5.9356270541500002E-5</v>
      </c>
      <c r="E36" s="2">
        <f t="shared" si="7"/>
        <v>0.88</v>
      </c>
      <c r="F36" s="2">
        <f t="shared" si="9"/>
        <v>3.82189025950029E-2</v>
      </c>
      <c r="G36" s="2">
        <f t="shared" si="7"/>
        <v>0.44</v>
      </c>
      <c r="H36" s="2">
        <f t="shared" si="10"/>
        <v>3.0461676582000001E-6</v>
      </c>
      <c r="I36" s="2">
        <f t="shared" si="7"/>
        <v>0.22</v>
      </c>
      <c r="J36" s="2">
        <f t="shared" si="11"/>
        <v>4.5999999999999998E-15</v>
      </c>
    </row>
    <row r="37" spans="1:10" x14ac:dyDescent="0.25">
      <c r="A37" s="2">
        <f t="shared" si="5"/>
        <v>3.77</v>
      </c>
      <c r="B37" s="2">
        <f t="shared" si="6"/>
        <v>6.3600000000000002E-14</v>
      </c>
      <c r="C37" s="2">
        <f t="shared" si="7"/>
        <v>1.885</v>
      </c>
      <c r="D37" s="2">
        <f t="shared" si="8"/>
        <v>1.5945756663499998E-5</v>
      </c>
      <c r="E37" s="2">
        <f t="shared" si="7"/>
        <v>0.9425</v>
      </c>
      <c r="F37" s="2">
        <f t="shared" si="9"/>
        <v>5.8504628286013799E-2</v>
      </c>
      <c r="G37" s="2">
        <f t="shared" si="7"/>
        <v>0.47125</v>
      </c>
      <c r="H37" s="2">
        <f t="shared" si="10"/>
        <v>1.2314595669E-5</v>
      </c>
      <c r="I37" s="2">
        <f t="shared" si="7"/>
        <v>0.235625</v>
      </c>
      <c r="J37" s="2">
        <f t="shared" si="11"/>
        <v>5.7100000000000004E-14</v>
      </c>
    </row>
    <row r="38" spans="1:10" x14ac:dyDescent="0.25">
      <c r="A38" s="2">
        <f t="shared" si="5"/>
        <v>4.0199999999999996</v>
      </c>
      <c r="B38" s="2">
        <f t="shared" si="6"/>
        <v>5.9999999999999997E-15</v>
      </c>
      <c r="C38" s="2">
        <f t="shared" si="7"/>
        <v>2.0099999999999998</v>
      </c>
      <c r="D38" s="2">
        <f t="shared" si="8"/>
        <v>4.2404457543000003E-6</v>
      </c>
      <c r="E38" s="2">
        <f t="shared" si="7"/>
        <v>1.0049999999999999</v>
      </c>
      <c r="F38" s="2">
        <f t="shared" si="9"/>
        <v>7.6611529577511606E-2</v>
      </c>
      <c r="G38" s="2">
        <f t="shared" si="7"/>
        <v>0.50249999999999995</v>
      </c>
      <c r="H38" s="2">
        <f t="shared" si="10"/>
        <v>4.1304866081999998E-5</v>
      </c>
      <c r="I38" s="2">
        <f t="shared" si="7"/>
        <v>0.25124999999999997</v>
      </c>
      <c r="J38" s="2">
        <f t="shared" si="11"/>
        <v>5.4660000000000001E-13</v>
      </c>
    </row>
    <row r="39" spans="1:10" x14ac:dyDescent="0.25">
      <c r="A39" s="2">
        <f t="shared" si="5"/>
        <v>4.2699999999999996</v>
      </c>
      <c r="B39" s="2">
        <f t="shared" si="6"/>
        <v>5.9999999999999999E-16</v>
      </c>
      <c r="C39" s="2">
        <f t="shared" si="7"/>
        <v>2.1349999999999998</v>
      </c>
      <c r="D39" s="2">
        <f t="shared" si="8"/>
        <v>1.1224891946999999E-6</v>
      </c>
      <c r="E39" s="2">
        <f t="shared" si="7"/>
        <v>1.0674999999999999</v>
      </c>
      <c r="F39" s="2">
        <f t="shared" si="9"/>
        <v>4.6448484865763001E-2</v>
      </c>
      <c r="G39" s="2">
        <f t="shared" si="7"/>
        <v>0.53374999999999995</v>
      </c>
      <c r="H39" s="2">
        <f t="shared" si="10"/>
        <v>1.1836042980569999E-4</v>
      </c>
      <c r="I39" s="2">
        <f t="shared" si="7"/>
        <v>0.26687499999999997</v>
      </c>
      <c r="J39" s="2">
        <f t="shared" si="11"/>
        <v>4.1685000000000003E-12</v>
      </c>
    </row>
    <row r="40" spans="1:10" x14ac:dyDescent="0.25">
      <c r="A40" s="2">
        <f t="shared" si="5"/>
        <v>4.5199999999999996</v>
      </c>
      <c r="B40" s="2">
        <f t="shared" si="6"/>
        <v>9.9999999999999998E-17</v>
      </c>
      <c r="C40" s="2">
        <f t="shared" si="7"/>
        <v>2.2599999999999998</v>
      </c>
      <c r="D40" s="2">
        <f t="shared" si="8"/>
        <v>2.9705792869999998E-7</v>
      </c>
      <c r="E40" s="2">
        <f t="shared" si="7"/>
        <v>1.1299999999999999</v>
      </c>
      <c r="F40" s="2">
        <f t="shared" si="9"/>
        <v>2.75064103917542E-2</v>
      </c>
      <c r="G40" s="2">
        <f t="shared" si="7"/>
        <v>0.56499999999999995</v>
      </c>
      <c r="H40" s="2">
        <f t="shared" si="10"/>
        <v>2.9667988177560002E-4</v>
      </c>
      <c r="I40" s="2">
        <f t="shared" si="7"/>
        <v>0.28249999999999997</v>
      </c>
      <c r="J40" s="2">
        <f t="shared" si="11"/>
        <v>2.61378E-11</v>
      </c>
    </row>
    <row r="41" spans="1:10" x14ac:dyDescent="0.25">
      <c r="A41" s="2">
        <f t="shared" si="5"/>
        <v>4.7699999999999996</v>
      </c>
      <c r="B41" s="2">
        <f t="shared" si="6"/>
        <v>0</v>
      </c>
      <c r="C41" s="2">
        <f t="shared" si="7"/>
        <v>2.3849999999999998</v>
      </c>
      <c r="D41" s="2">
        <f t="shared" si="8"/>
        <v>7.8859520599999995E-8</v>
      </c>
      <c r="E41" s="2">
        <f t="shared" si="7"/>
        <v>1.1924999999999999</v>
      </c>
      <c r="F41" s="2">
        <f t="shared" si="9"/>
        <v>1.5941944154855201E-2</v>
      </c>
      <c r="G41" s="2">
        <f t="shared" si="7"/>
        <v>0.59624999999999995</v>
      </c>
      <c r="H41" s="2">
        <f t="shared" si="10"/>
        <v>6.6315824241659999E-4</v>
      </c>
      <c r="I41" s="2">
        <f t="shared" si="7"/>
        <v>0.29812499999999997</v>
      </c>
      <c r="J41" s="2">
        <f t="shared" si="11"/>
        <v>1.3822819999999999E-10</v>
      </c>
    </row>
    <row r="42" spans="1:10" x14ac:dyDescent="0.25">
      <c r="A42" s="2">
        <f t="shared" si="5"/>
        <v>5.0199999999999996</v>
      </c>
      <c r="B42" s="2">
        <f t="shared" si="6"/>
        <v>0</v>
      </c>
      <c r="C42" s="2">
        <f t="shared" si="7"/>
        <v>2.5099999999999998</v>
      </c>
      <c r="D42" s="2">
        <f t="shared" si="8"/>
        <v>2.10551584E-8</v>
      </c>
      <c r="E42" s="2">
        <f t="shared" si="7"/>
        <v>1.2549999999999999</v>
      </c>
      <c r="F42" s="2">
        <f t="shared" si="9"/>
        <v>9.0622847119711993E-3</v>
      </c>
      <c r="G42" s="2">
        <f t="shared" si="7"/>
        <v>0.62749999999999995</v>
      </c>
      <c r="H42" s="2">
        <f t="shared" si="10"/>
        <v>1.3430867279691E-3</v>
      </c>
      <c r="I42" s="2">
        <f t="shared" si="7"/>
        <v>0.31374999999999997</v>
      </c>
      <c r="J42" s="2">
        <f t="shared" si="11"/>
        <v>6.2973800000000002E-10</v>
      </c>
    </row>
    <row r="43" spans="1:10" x14ac:dyDescent="0.25">
      <c r="A43" s="2">
        <f t="shared" si="5"/>
        <v>5.27</v>
      </c>
      <c r="B43" s="2">
        <f t="shared" si="6"/>
        <v>0</v>
      </c>
      <c r="C43" s="2">
        <f t="shared" si="7"/>
        <v>2.6349999999999998</v>
      </c>
      <c r="D43" s="2">
        <f t="shared" si="8"/>
        <v>5.6654421000000001E-9</v>
      </c>
      <c r="E43" s="2">
        <f t="shared" si="7"/>
        <v>1.3174999999999999</v>
      </c>
      <c r="F43" s="2">
        <f t="shared" si="9"/>
        <v>5.0638412937289001E-3</v>
      </c>
      <c r="G43" s="2">
        <f t="shared" si="7"/>
        <v>0.65874999999999995</v>
      </c>
      <c r="H43" s="2">
        <f t="shared" si="10"/>
        <v>2.4975194656288E-3</v>
      </c>
      <c r="I43" s="2">
        <f t="shared" si="7"/>
        <v>0.32937499999999997</v>
      </c>
      <c r="J43" s="2">
        <f t="shared" si="11"/>
        <v>2.5157100000000002E-9</v>
      </c>
    </row>
    <row r="44" spans="1:10" x14ac:dyDescent="0.25">
      <c r="A44" s="2">
        <f t="shared" si="5"/>
        <v>5.52</v>
      </c>
      <c r="B44" s="2">
        <f t="shared" si="6"/>
        <v>0</v>
      </c>
      <c r="C44" s="2">
        <f t="shared" si="7"/>
        <v>2.76</v>
      </c>
      <c r="D44" s="2">
        <f t="shared" si="8"/>
        <v>1.538709E-9</v>
      </c>
      <c r="E44" s="2">
        <f t="shared" si="7"/>
        <v>1.38</v>
      </c>
      <c r="F44" s="2">
        <f t="shared" si="9"/>
        <v>2.7873671020548999E-3</v>
      </c>
      <c r="G44" s="2">
        <f t="shared" si="7"/>
        <v>0.69</v>
      </c>
      <c r="H44" s="2">
        <f t="shared" si="10"/>
        <v>4.3119652163553998E-3</v>
      </c>
      <c r="I44" s="2">
        <f t="shared" si="7"/>
        <v>0.34499999999999997</v>
      </c>
      <c r="J44" s="2">
        <f t="shared" si="11"/>
        <v>8.9455225999999995E-9</v>
      </c>
    </row>
    <row r="45" spans="1:10" x14ac:dyDescent="0.25">
      <c r="A45" s="2">
        <f t="shared" si="5"/>
        <v>5.77</v>
      </c>
      <c r="B45" s="2">
        <f t="shared" si="6"/>
        <v>0</v>
      </c>
      <c r="C45" s="2">
        <f t="shared" si="7"/>
        <v>2.8849999999999998</v>
      </c>
      <c r="D45" s="2">
        <f t="shared" si="8"/>
        <v>4.22321E-10</v>
      </c>
      <c r="E45" s="2">
        <f t="shared" si="7"/>
        <v>1.4424999999999999</v>
      </c>
      <c r="F45" s="2">
        <f t="shared" si="9"/>
        <v>1.5144311085749E-3</v>
      </c>
      <c r="G45" s="2">
        <f t="shared" si="7"/>
        <v>0.72124999999999995</v>
      </c>
      <c r="H45" s="2">
        <f t="shared" si="10"/>
        <v>6.9776360142751997E-3</v>
      </c>
      <c r="I45" s="2">
        <f t="shared" si="7"/>
        <v>0.36062499999999997</v>
      </c>
      <c r="J45" s="2">
        <f t="shared" si="11"/>
        <v>2.8677109200000001E-8</v>
      </c>
    </row>
    <row r="46" spans="1:10" x14ac:dyDescent="0.25">
      <c r="A46" s="2">
        <f t="shared" si="5"/>
        <v>6.02</v>
      </c>
      <c r="B46" s="2">
        <f t="shared" si="6"/>
        <v>0</v>
      </c>
      <c r="C46" s="2">
        <f t="shared" si="7"/>
        <v>3.01</v>
      </c>
      <c r="D46" s="2">
        <f t="shared" si="8"/>
        <v>1.1724159999999999E-10</v>
      </c>
      <c r="E46" s="2">
        <f t="shared" si="7"/>
        <v>1.5049999999999999</v>
      </c>
      <c r="F46" s="2">
        <f t="shared" si="9"/>
        <v>8.1366795148060005E-4</v>
      </c>
      <c r="G46" s="2">
        <f t="shared" si="7"/>
        <v>0.75249999999999995</v>
      </c>
      <c r="H46" s="2">
        <f t="shared" si="10"/>
        <v>1.06687159584096E-2</v>
      </c>
      <c r="I46" s="2">
        <f t="shared" si="7"/>
        <v>0.37624999999999997</v>
      </c>
      <c r="J46" s="2">
        <f t="shared" si="11"/>
        <v>8.3791450899999999E-8</v>
      </c>
    </row>
    <row r="47" spans="1:10" x14ac:dyDescent="0.25">
      <c r="A47" s="2">
        <f t="shared" si="5"/>
        <v>6.27</v>
      </c>
      <c r="B47" s="2">
        <f t="shared" si="6"/>
        <v>0</v>
      </c>
      <c r="C47" s="2">
        <f t="shared" si="7"/>
        <v>3.1349999999999998</v>
      </c>
      <c r="D47" s="2">
        <f t="shared" si="8"/>
        <v>3.2942899999999998E-11</v>
      </c>
      <c r="E47" s="2">
        <f t="shared" si="7"/>
        <v>1.5674999999999999</v>
      </c>
      <c r="F47" s="2">
        <f t="shared" si="9"/>
        <v>4.3302754715999998E-4</v>
      </c>
      <c r="G47" s="2">
        <f t="shared" si="7"/>
        <v>0.78374999999999995</v>
      </c>
      <c r="H47" s="2">
        <f t="shared" si="10"/>
        <v>1.55201873745486E-2</v>
      </c>
      <c r="I47" s="2">
        <f t="shared" si="7"/>
        <v>0.39187499999999997</v>
      </c>
      <c r="J47" s="2">
        <f t="shared" si="11"/>
        <v>2.252671863E-7</v>
      </c>
    </row>
    <row r="48" spans="1:10" x14ac:dyDescent="0.25">
      <c r="A48" s="2">
        <f t="shared" si="5"/>
        <v>6.52</v>
      </c>
      <c r="B48" s="2">
        <f t="shared" si="6"/>
        <v>0</v>
      </c>
      <c r="C48" s="2">
        <f t="shared" si="7"/>
        <v>3.26</v>
      </c>
      <c r="D48" s="2">
        <f t="shared" si="8"/>
        <v>9.3732999999999992E-12</v>
      </c>
      <c r="E48" s="2">
        <f t="shared" si="7"/>
        <v>1.63</v>
      </c>
      <c r="F48" s="2">
        <f t="shared" si="9"/>
        <v>2.2861808917419999E-4</v>
      </c>
      <c r="G48" s="2">
        <f t="shared" si="7"/>
        <v>0.81499999999999995</v>
      </c>
      <c r="H48" s="2">
        <f t="shared" si="10"/>
        <v>2.16104324255144E-2</v>
      </c>
      <c r="I48" s="2">
        <f t="shared" si="7"/>
        <v>0.40749999999999997</v>
      </c>
      <c r="J48" s="2">
        <f t="shared" si="11"/>
        <v>5.6180864820000004E-7</v>
      </c>
    </row>
    <row r="49" spans="1:10" x14ac:dyDescent="0.25">
      <c r="A49" s="2">
        <f t="shared" si="5"/>
        <v>6.77</v>
      </c>
      <c r="B49" s="2">
        <f t="shared" si="6"/>
        <v>0</v>
      </c>
      <c r="C49" s="2">
        <f t="shared" si="7"/>
        <v>3.3849999999999998</v>
      </c>
      <c r="D49" s="2">
        <f t="shared" si="8"/>
        <v>2.7016000000000001E-12</v>
      </c>
      <c r="E49" s="2">
        <f t="shared" si="7"/>
        <v>1.6924999999999999</v>
      </c>
      <c r="F49" s="2">
        <f t="shared" si="9"/>
        <v>1.1990016559699999E-4</v>
      </c>
      <c r="G49" s="2">
        <f t="shared" si="7"/>
        <v>0.84624999999999995</v>
      </c>
      <c r="H49" s="2">
        <f t="shared" si="10"/>
        <v>2.8951431512213001E-2</v>
      </c>
      <c r="I49" s="2">
        <f t="shared" si="7"/>
        <v>0.42312499999999997</v>
      </c>
      <c r="J49" s="2">
        <f t="shared" si="11"/>
        <v>1.3091123526E-6</v>
      </c>
    </row>
    <row r="50" spans="1:10" x14ac:dyDescent="0.25">
      <c r="A50" s="2">
        <f t="shared" si="5"/>
        <v>7.02</v>
      </c>
      <c r="B50" s="2">
        <f t="shared" si="6"/>
        <v>0</v>
      </c>
      <c r="C50" s="2">
        <f t="shared" si="7"/>
        <v>3.51</v>
      </c>
      <c r="D50" s="2">
        <f t="shared" si="8"/>
        <v>7.889E-13</v>
      </c>
      <c r="E50" s="2">
        <f t="shared" si="7"/>
        <v>1.7549999999999999</v>
      </c>
      <c r="F50" s="2">
        <f t="shared" si="9"/>
        <v>6.2541256840100006E-5</v>
      </c>
      <c r="G50" s="2">
        <f t="shared" si="7"/>
        <v>0.87749999999999995</v>
      </c>
      <c r="H50" s="2">
        <f t="shared" si="10"/>
        <v>3.7487512352535501E-2</v>
      </c>
      <c r="I50" s="2">
        <f t="shared" si="7"/>
        <v>0.43874999999999997</v>
      </c>
      <c r="J50" s="2">
        <f t="shared" si="11"/>
        <v>2.8680571329999999E-6</v>
      </c>
    </row>
    <row r="51" spans="1:10" x14ac:dyDescent="0.25">
      <c r="A51" s="2">
        <f t="shared" si="5"/>
        <v>7.27</v>
      </c>
      <c r="B51" s="2">
        <f t="shared" si="6"/>
        <v>0</v>
      </c>
      <c r="C51" s="2">
        <f t="shared" si="7"/>
        <v>3.6349999999999998</v>
      </c>
      <c r="D51" s="2">
        <f t="shared" si="8"/>
        <v>2.334E-13</v>
      </c>
      <c r="E51" s="2">
        <f t="shared" si="7"/>
        <v>1.8174999999999999</v>
      </c>
      <c r="F51" s="2">
        <f t="shared" si="9"/>
        <v>3.2480011999200001E-5</v>
      </c>
      <c r="G51" s="2">
        <f t="shared" si="7"/>
        <v>0.90874999999999995</v>
      </c>
      <c r="H51" s="2">
        <f t="shared" si="10"/>
        <v>4.7101866687722697E-2</v>
      </c>
      <c r="I51" s="2">
        <f t="shared" si="7"/>
        <v>0.45437499999999997</v>
      </c>
      <c r="J51" s="2">
        <f t="shared" si="11"/>
        <v>5.9404866344E-6</v>
      </c>
    </row>
    <row r="52" spans="1:10" x14ac:dyDescent="0.25">
      <c r="A52" s="2">
        <f t="shared" si="5"/>
        <v>7.52</v>
      </c>
      <c r="B52" s="2">
        <f t="shared" si="6"/>
        <v>0</v>
      </c>
      <c r="C52" s="2">
        <f t="shared" si="7"/>
        <v>3.76</v>
      </c>
      <c r="D52" s="2">
        <f t="shared" si="8"/>
        <v>7.0000000000000005E-14</v>
      </c>
      <c r="E52" s="2">
        <f t="shared" si="7"/>
        <v>1.88</v>
      </c>
      <c r="F52" s="2">
        <f t="shared" si="9"/>
        <v>1.6810509166099999E-5</v>
      </c>
      <c r="G52" s="2">
        <f t="shared" si="7"/>
        <v>0.94</v>
      </c>
      <c r="H52" s="2">
        <f t="shared" si="10"/>
        <v>5.7628844263235501E-2</v>
      </c>
      <c r="I52" s="2">
        <f t="shared" si="7"/>
        <v>0.47</v>
      </c>
      <c r="J52" s="2">
        <f t="shared" si="11"/>
        <v>1.16897373092E-5</v>
      </c>
    </row>
    <row r="53" spans="1:10" x14ac:dyDescent="0.25">
      <c r="A53" s="2">
        <f t="shared" si="5"/>
        <v>7.77</v>
      </c>
      <c r="B53" s="2">
        <f t="shared" si="6"/>
        <v>0</v>
      </c>
      <c r="C53" s="2">
        <f t="shared" si="7"/>
        <v>3.8849999999999998</v>
      </c>
      <c r="D53" s="2">
        <f t="shared" si="8"/>
        <v>2.1300000000000001E-14</v>
      </c>
      <c r="E53" s="2">
        <f t="shared" si="7"/>
        <v>1.9424999999999999</v>
      </c>
      <c r="F53" s="2">
        <f t="shared" si="9"/>
        <v>8.6781204915999999E-6</v>
      </c>
      <c r="G53" s="2">
        <f t="shared" si="7"/>
        <v>0.97124999999999995</v>
      </c>
      <c r="H53" s="2">
        <f t="shared" si="10"/>
        <v>6.8869495716090107E-2</v>
      </c>
      <c r="I53" s="2">
        <f t="shared" si="7"/>
        <v>0.48562499999999997</v>
      </c>
      <c r="J53" s="2">
        <f t="shared" si="11"/>
        <v>2.1949499972400001E-5</v>
      </c>
    </row>
    <row r="54" spans="1:10" x14ac:dyDescent="0.25">
      <c r="A54" s="2">
        <f t="shared" si="5"/>
        <v>8.02</v>
      </c>
      <c r="B54" s="2">
        <f t="shared" si="6"/>
        <v>0</v>
      </c>
      <c r="C54" s="2">
        <f t="shared" si="7"/>
        <v>4.01</v>
      </c>
      <c r="D54" s="2">
        <f t="shared" si="8"/>
        <v>6.4999999999999999E-15</v>
      </c>
      <c r="E54" s="2">
        <f t="shared" si="7"/>
        <v>2.0049999999999999</v>
      </c>
      <c r="F54" s="2">
        <f t="shared" si="9"/>
        <v>4.4717071344999999E-6</v>
      </c>
      <c r="G54" s="2">
        <f t="shared" si="7"/>
        <v>1.0024999999999999</v>
      </c>
      <c r="H54" s="2">
        <f t="shared" si="10"/>
        <v>7.81203487137134E-2</v>
      </c>
      <c r="I54" s="2">
        <f t="shared" si="7"/>
        <v>0.50124999999999997</v>
      </c>
      <c r="J54" s="2">
        <f t="shared" si="11"/>
        <v>3.9479029899199997E-5</v>
      </c>
    </row>
    <row r="55" spans="1:10" x14ac:dyDescent="0.25">
      <c r="A55" s="2">
        <f t="shared" si="5"/>
        <v>8.27</v>
      </c>
      <c r="B55" s="2">
        <f t="shared" si="6"/>
        <v>0</v>
      </c>
      <c r="C55" s="2">
        <f t="shared" si="7"/>
        <v>4.1349999999999998</v>
      </c>
      <c r="D55" s="2">
        <f t="shared" si="8"/>
        <v>2.0000000000000002E-15</v>
      </c>
      <c r="E55" s="2">
        <f t="shared" si="7"/>
        <v>2.0674999999999999</v>
      </c>
      <c r="F55" s="2">
        <f t="shared" si="9"/>
        <v>2.301489756E-6</v>
      </c>
      <c r="G55" s="2">
        <f t="shared" si="7"/>
        <v>1.0337499999999999</v>
      </c>
      <c r="H55" s="2">
        <f t="shared" si="10"/>
        <v>6.1044017482493398E-2</v>
      </c>
      <c r="I55" s="2">
        <f t="shared" si="7"/>
        <v>0.51687499999999997</v>
      </c>
      <c r="J55" s="2">
        <f t="shared" si="11"/>
        <v>6.8255646207200004E-5</v>
      </c>
    </row>
    <row r="56" spans="1:10" x14ac:dyDescent="0.25">
      <c r="A56" s="2">
        <f t="shared" si="5"/>
        <v>8.52</v>
      </c>
      <c r="B56" s="2">
        <f t="shared" si="6"/>
        <v>0</v>
      </c>
      <c r="C56" s="2">
        <f t="shared" si="7"/>
        <v>4.26</v>
      </c>
      <c r="D56" s="2">
        <f t="shared" si="8"/>
        <v>5.9999999999999999E-16</v>
      </c>
      <c r="E56" s="2">
        <f t="shared" si="7"/>
        <v>2.13</v>
      </c>
      <c r="F56" s="2">
        <f t="shared" si="9"/>
        <v>1.1838168789999999E-6</v>
      </c>
      <c r="G56" s="2">
        <f t="shared" si="7"/>
        <v>1.0649999999999999</v>
      </c>
      <c r="H56" s="2">
        <f t="shared" si="10"/>
        <v>4.7409549679636502E-2</v>
      </c>
      <c r="I56" s="2">
        <f t="shared" si="7"/>
        <v>0.53249999999999997</v>
      </c>
      <c r="J56" s="2">
        <f t="shared" si="11"/>
        <v>1.137878135791E-4</v>
      </c>
    </row>
    <row r="57" spans="1:10" x14ac:dyDescent="0.25">
      <c r="A57" s="2">
        <f t="shared" si="5"/>
        <v>8.77</v>
      </c>
      <c r="B57" s="2">
        <f t="shared" si="6"/>
        <v>0</v>
      </c>
      <c r="C57" s="2">
        <f t="shared" si="7"/>
        <v>4.3849999999999998</v>
      </c>
      <c r="D57" s="2">
        <f t="shared" si="8"/>
        <v>2E-16</v>
      </c>
      <c r="E57" s="2">
        <f t="shared" si="7"/>
        <v>2.1924999999999999</v>
      </c>
      <c r="F57" s="2">
        <f t="shared" si="9"/>
        <v>6.0886636010000002E-7</v>
      </c>
      <c r="G57" s="2">
        <f t="shared" si="7"/>
        <v>1.0962499999999999</v>
      </c>
      <c r="H57" s="2">
        <f t="shared" si="10"/>
        <v>3.6603615984783497E-2</v>
      </c>
      <c r="I57" s="2">
        <f t="shared" si="7"/>
        <v>0.54812499999999997</v>
      </c>
      <c r="J57" s="2">
        <f t="shared" si="11"/>
        <v>1.8342507047329999E-4</v>
      </c>
    </row>
    <row r="58" spans="1:10" x14ac:dyDescent="0.25">
      <c r="A58" s="2">
        <f t="shared" si="5"/>
        <v>9.02</v>
      </c>
      <c r="B58" s="2">
        <f t="shared" si="6"/>
        <v>0</v>
      </c>
      <c r="C58" s="2">
        <f t="shared" si="7"/>
        <v>4.51</v>
      </c>
      <c r="D58" s="2">
        <f t="shared" si="8"/>
        <v>9.9999999999999998E-17</v>
      </c>
      <c r="E58" s="2">
        <f t="shared" si="7"/>
        <v>2.2549999999999999</v>
      </c>
      <c r="F58" s="2">
        <f t="shared" si="9"/>
        <v>3.1326896460000002E-7</v>
      </c>
      <c r="G58" s="2">
        <f t="shared" si="7"/>
        <v>1.1274999999999999</v>
      </c>
      <c r="H58" s="2">
        <f t="shared" si="10"/>
        <v>2.8100959858671299E-2</v>
      </c>
      <c r="I58" s="2">
        <f t="shared" si="7"/>
        <v>0.56374999999999997</v>
      </c>
      <c r="J58" s="2">
        <f t="shared" si="11"/>
        <v>2.8663588521139999E-4</v>
      </c>
    </row>
    <row r="59" spans="1:10" x14ac:dyDescent="0.25">
      <c r="A59" s="2">
        <f t="shared" si="5"/>
        <v>9.27</v>
      </c>
      <c r="B59" s="2">
        <f t="shared" si="6"/>
        <v>0</v>
      </c>
      <c r="C59" s="2">
        <f t="shared" si="7"/>
        <v>4.6349999999999998</v>
      </c>
      <c r="D59" s="2">
        <f t="shared" si="8"/>
        <v>0</v>
      </c>
      <c r="E59" s="2">
        <f t="shared" si="7"/>
        <v>2.3174999999999999</v>
      </c>
      <c r="F59" s="2">
        <f t="shared" si="9"/>
        <v>1.6130337589999999E-7</v>
      </c>
      <c r="G59" s="2">
        <f t="shared" si="7"/>
        <v>1.1587499999999999</v>
      </c>
      <c r="H59" s="2">
        <f t="shared" si="10"/>
        <v>2.1457005972637701E-2</v>
      </c>
      <c r="I59" s="2">
        <f t="shared" si="7"/>
        <v>0.57937499999999997</v>
      </c>
      <c r="J59" s="2">
        <f t="shared" si="11"/>
        <v>4.3522220355069998E-4</v>
      </c>
    </row>
    <row r="60" spans="1:10" x14ac:dyDescent="0.25">
      <c r="A60" s="2">
        <f t="shared" si="5"/>
        <v>9.52</v>
      </c>
      <c r="B60" s="2">
        <f t="shared" si="6"/>
        <v>0</v>
      </c>
      <c r="C60" s="2">
        <f t="shared" si="7"/>
        <v>4.76</v>
      </c>
      <c r="D60" s="2">
        <f t="shared" si="8"/>
        <v>0</v>
      </c>
      <c r="E60" s="2">
        <f t="shared" si="7"/>
        <v>2.38</v>
      </c>
      <c r="F60" s="2">
        <f t="shared" si="9"/>
        <v>8.3148118300000001E-8</v>
      </c>
      <c r="G60" s="2">
        <f t="shared" si="7"/>
        <v>1.19</v>
      </c>
      <c r="H60" s="2">
        <f t="shared" si="10"/>
        <v>1.62998977075977E-2</v>
      </c>
      <c r="I60" s="2">
        <f t="shared" si="7"/>
        <v>0.59499999999999997</v>
      </c>
      <c r="J60" s="2">
        <f t="shared" si="11"/>
        <v>6.4344060947359996E-4</v>
      </c>
    </row>
    <row r="61" spans="1:10" x14ac:dyDescent="0.25">
      <c r="A61" s="2">
        <f t="shared" si="5"/>
        <v>9.77</v>
      </c>
      <c r="B61" s="2">
        <f t="shared" si="6"/>
        <v>0</v>
      </c>
      <c r="C61" s="2">
        <f t="shared" si="7"/>
        <v>4.8849999999999998</v>
      </c>
      <c r="D61" s="2">
        <f t="shared" si="8"/>
        <v>0</v>
      </c>
      <c r="E61" s="2">
        <f t="shared" si="7"/>
        <v>2.4424999999999999</v>
      </c>
      <c r="F61" s="2">
        <f t="shared" si="9"/>
        <v>4.2921831800000001E-8</v>
      </c>
      <c r="G61" s="2">
        <f t="shared" si="7"/>
        <v>1.2212499999999999</v>
      </c>
      <c r="H61" s="2">
        <f t="shared" si="10"/>
        <v>1.2322196232265201E-2</v>
      </c>
      <c r="I61" s="2">
        <f t="shared" si="7"/>
        <v>0.61062499999999997</v>
      </c>
      <c r="J61" s="2">
        <f t="shared" si="11"/>
        <v>9.2800474569360004E-4</v>
      </c>
    </row>
    <row r="62" spans="1:10" x14ac:dyDescent="0.25">
      <c r="A62" s="2">
        <f t="shared" si="5"/>
        <v>10.02</v>
      </c>
      <c r="B62" s="2">
        <f t="shared" si="6"/>
        <v>0</v>
      </c>
      <c r="C62" s="2">
        <f t="shared" si="7"/>
        <v>5.01</v>
      </c>
      <c r="D62" s="2">
        <f t="shared" si="8"/>
        <v>0</v>
      </c>
      <c r="E62" s="2">
        <f t="shared" si="7"/>
        <v>2.5049999999999999</v>
      </c>
      <c r="F62" s="2">
        <f t="shared" si="9"/>
        <v>2.2194161599999999E-8</v>
      </c>
      <c r="G62" s="2">
        <f t="shared" si="7"/>
        <v>1.2524999999999999</v>
      </c>
      <c r="H62" s="2">
        <f t="shared" si="10"/>
        <v>9.2725519387628005E-3</v>
      </c>
      <c r="I62" s="2">
        <f t="shared" si="7"/>
        <v>0.62624999999999997</v>
      </c>
      <c r="J62" s="2">
        <f t="shared" si="11"/>
        <v>1.3079514947515001E-3</v>
      </c>
    </row>
    <row r="63" spans="1:10" x14ac:dyDescent="0.25">
      <c r="A63" s="2">
        <f t="shared" si="5"/>
        <v>10.27</v>
      </c>
      <c r="B63" s="2">
        <f t="shared" si="6"/>
        <v>0</v>
      </c>
      <c r="C63" s="2">
        <f t="shared" si="7"/>
        <v>5.1349999999999998</v>
      </c>
      <c r="D63" s="2">
        <f t="shared" si="8"/>
        <v>0</v>
      </c>
      <c r="E63" s="2">
        <f t="shared" si="7"/>
        <v>2.5674999999999999</v>
      </c>
      <c r="F63" s="2">
        <f t="shared" si="9"/>
        <v>1.14983999E-8</v>
      </c>
      <c r="G63" s="2">
        <f t="shared" si="7"/>
        <v>1.2837499999999999</v>
      </c>
      <c r="H63" s="2">
        <f t="shared" si="10"/>
        <v>6.9476502596887996E-3</v>
      </c>
      <c r="I63" s="2">
        <f t="shared" si="7"/>
        <v>0.64187499999999997</v>
      </c>
      <c r="J63" s="2">
        <f t="shared" si="11"/>
        <v>1.8043635295923999E-3</v>
      </c>
    </row>
    <row r="64" spans="1:10" x14ac:dyDescent="0.25">
      <c r="A64" s="2">
        <f t="shared" si="5"/>
        <v>10.52</v>
      </c>
      <c r="B64" s="2">
        <f t="shared" si="6"/>
        <v>0</v>
      </c>
      <c r="C64" s="2">
        <f t="shared" si="7"/>
        <v>5.26</v>
      </c>
      <c r="D64" s="2">
        <f t="shared" si="8"/>
        <v>0</v>
      </c>
      <c r="E64" s="2">
        <f t="shared" si="7"/>
        <v>2.63</v>
      </c>
      <c r="F64" s="2">
        <f t="shared" si="9"/>
        <v>5.9698719000000004E-9</v>
      </c>
      <c r="G64" s="2">
        <f t="shared" si="7"/>
        <v>1.3149999999999999</v>
      </c>
      <c r="H64" s="2">
        <f t="shared" si="10"/>
        <v>5.1846773629228996E-3</v>
      </c>
      <c r="I64" s="2">
        <f t="shared" si="7"/>
        <v>0.65749999999999997</v>
      </c>
      <c r="J64" s="2">
        <f t="shared" si="11"/>
        <v>2.4399520467793001E-3</v>
      </c>
    </row>
    <row r="65" spans="1:10" x14ac:dyDescent="0.25">
      <c r="A65" s="2">
        <f t="shared" si="5"/>
        <v>10.77</v>
      </c>
      <c r="B65" s="2">
        <f t="shared" si="6"/>
        <v>0</v>
      </c>
      <c r="C65" s="2">
        <f t="shared" si="7"/>
        <v>5.3849999999999998</v>
      </c>
      <c r="D65" s="2">
        <f t="shared" si="8"/>
        <v>0</v>
      </c>
      <c r="E65" s="2">
        <f t="shared" si="7"/>
        <v>2.6924999999999999</v>
      </c>
      <c r="F65" s="2">
        <f t="shared" si="9"/>
        <v>3.1067123999999999E-9</v>
      </c>
      <c r="G65" s="2">
        <f t="shared" si="7"/>
        <v>1.3462499999999999</v>
      </c>
      <c r="H65" s="2">
        <f t="shared" si="10"/>
        <v>3.8544757917856002E-3</v>
      </c>
      <c r="I65" s="2">
        <f t="shared" si="7"/>
        <v>0.67312499999999997</v>
      </c>
      <c r="J65" s="2">
        <f t="shared" si="11"/>
        <v>3.2385145457121001E-3</v>
      </c>
    </row>
    <row r="66" spans="1:10" x14ac:dyDescent="0.25">
      <c r="A66" s="2">
        <f t="shared" si="5"/>
        <v>11.02</v>
      </c>
      <c r="B66" s="2">
        <f t="shared" si="6"/>
        <v>0</v>
      </c>
      <c r="C66" s="2">
        <f t="shared" si="7"/>
        <v>5.51</v>
      </c>
      <c r="D66" s="2">
        <f t="shared" si="8"/>
        <v>0</v>
      </c>
      <c r="E66" s="2">
        <f t="shared" si="7"/>
        <v>2.7549999999999999</v>
      </c>
      <c r="F66" s="2">
        <f t="shared" si="9"/>
        <v>1.6207458999999999E-9</v>
      </c>
      <c r="G66" s="2">
        <f t="shared" si="7"/>
        <v>1.3774999999999999</v>
      </c>
      <c r="H66" s="2">
        <f t="shared" si="10"/>
        <v>2.8554846422992998E-3</v>
      </c>
      <c r="I66" s="2">
        <f t="shared" si="7"/>
        <v>0.68874999999999997</v>
      </c>
      <c r="J66" s="2">
        <f t="shared" si="11"/>
        <v>4.2242922522622E-3</v>
      </c>
    </row>
    <row r="67" spans="1:10" x14ac:dyDescent="0.25">
      <c r="A67" s="2">
        <f t="shared" si="5"/>
        <v>11.27</v>
      </c>
      <c r="B67" s="2">
        <f t="shared" si="6"/>
        <v>0</v>
      </c>
      <c r="C67" s="2">
        <f t="shared" si="7"/>
        <v>5.6349999999999998</v>
      </c>
      <c r="D67" s="2">
        <f t="shared" si="8"/>
        <v>0</v>
      </c>
      <c r="E67" s="2">
        <f t="shared" si="7"/>
        <v>2.8174999999999999</v>
      </c>
      <c r="F67" s="2">
        <f t="shared" si="9"/>
        <v>8.4774889999999995E-10</v>
      </c>
      <c r="G67" s="2">
        <f t="shared" si="7"/>
        <v>1.4087499999999999</v>
      </c>
      <c r="H67" s="2">
        <f t="shared" si="10"/>
        <v>2.1084939223180998E-3</v>
      </c>
      <c r="I67" s="2">
        <f t="shared" si="7"/>
        <v>0.70437499999999997</v>
      </c>
      <c r="J67" s="2">
        <f t="shared" si="11"/>
        <v>5.4212592791334996E-3</v>
      </c>
    </row>
    <row r="68" spans="1:10" x14ac:dyDescent="0.25">
      <c r="A68" s="2">
        <f t="shared" si="5"/>
        <v>11.52</v>
      </c>
      <c r="B68" s="2">
        <f t="shared" si="6"/>
        <v>0</v>
      </c>
      <c r="C68" s="2">
        <f t="shared" si="7"/>
        <v>5.76</v>
      </c>
      <c r="D68" s="2">
        <f t="shared" si="8"/>
        <v>0</v>
      </c>
      <c r="E68" s="2">
        <f t="shared" si="7"/>
        <v>2.88</v>
      </c>
      <c r="F68" s="2">
        <f t="shared" si="9"/>
        <v>4.4464190000000001E-10</v>
      </c>
      <c r="G68" s="2">
        <f t="shared" si="7"/>
        <v>1.44</v>
      </c>
      <c r="H68" s="2">
        <f t="shared" si="10"/>
        <v>1.5521928244840999E-3</v>
      </c>
      <c r="I68" s="2">
        <f t="shared" si="7"/>
        <v>0.72</v>
      </c>
      <c r="J68" s="2">
        <f t="shared" si="11"/>
        <v>6.8523802695032001E-3</v>
      </c>
    </row>
    <row r="69" spans="1:10" x14ac:dyDescent="0.25">
      <c r="A69" s="2">
        <f t="shared" si="5"/>
        <v>11.77</v>
      </c>
      <c r="B69" s="2">
        <f t="shared" si="6"/>
        <v>0</v>
      </c>
      <c r="C69" s="2">
        <f t="shared" si="7"/>
        <v>5.8849999999999998</v>
      </c>
      <c r="D69" s="2">
        <f t="shared" si="8"/>
        <v>0</v>
      </c>
      <c r="E69" s="2">
        <f t="shared" si="7"/>
        <v>2.9424999999999999</v>
      </c>
      <c r="F69" s="2">
        <f t="shared" si="9"/>
        <v>2.338783E-10</v>
      </c>
      <c r="G69" s="2">
        <f t="shared" si="7"/>
        <v>1.4712499999999999</v>
      </c>
      <c r="H69" s="2">
        <f t="shared" si="10"/>
        <v>1.1394573010009999E-3</v>
      </c>
      <c r="I69" s="2">
        <f t="shared" si="7"/>
        <v>0.73562499999999997</v>
      </c>
      <c r="J69" s="2">
        <f t="shared" si="11"/>
        <v>8.5388748475132992E-3</v>
      </c>
    </row>
    <row r="70" spans="1:10" x14ac:dyDescent="0.25">
      <c r="A70" s="2">
        <f t="shared" si="5"/>
        <v>12.02</v>
      </c>
      <c r="B70" s="2">
        <f t="shared" si="6"/>
        <v>0</v>
      </c>
      <c r="C70" s="2">
        <f t="shared" si="7"/>
        <v>6.01</v>
      </c>
      <c r="D70" s="2">
        <f t="shared" si="8"/>
        <v>0</v>
      </c>
      <c r="E70" s="2">
        <f t="shared" si="7"/>
        <v>3.0049999999999999</v>
      </c>
      <c r="F70" s="2">
        <f t="shared" si="9"/>
        <v>1.233801E-10</v>
      </c>
      <c r="G70" s="2">
        <f t="shared" si="7"/>
        <v>1.5024999999999999</v>
      </c>
      <c r="H70" s="2">
        <f t="shared" si="10"/>
        <v>8.3430182947699996E-4</v>
      </c>
      <c r="I70" s="2">
        <f t="shared" si="7"/>
        <v>0.75124999999999997</v>
      </c>
      <c r="J70" s="2">
        <f t="shared" si="11"/>
        <v>1.04995258029456E-2</v>
      </c>
    </row>
    <row r="71" spans="1:10" x14ac:dyDescent="0.25">
      <c r="A71" s="2">
        <f t="shared" si="5"/>
        <v>12.27</v>
      </c>
      <c r="B71" s="2">
        <f t="shared" si="6"/>
        <v>0</v>
      </c>
      <c r="C71" s="2">
        <f t="shared" si="7"/>
        <v>6.1349999999999998</v>
      </c>
      <c r="D71" s="2">
        <f t="shared" si="8"/>
        <v>0</v>
      </c>
      <c r="E71" s="2">
        <f t="shared" si="7"/>
        <v>3.0674999999999999</v>
      </c>
      <c r="F71" s="2">
        <f t="shared" si="9"/>
        <v>6.52844E-11</v>
      </c>
      <c r="G71" s="2">
        <f t="shared" si="7"/>
        <v>1.5337499999999999</v>
      </c>
      <c r="H71" s="2">
        <f t="shared" si="10"/>
        <v>6.0941086745630005E-4</v>
      </c>
      <c r="I71" s="2">
        <f t="shared" si="7"/>
        <v>0.76687499999999997</v>
      </c>
      <c r="J71" s="2">
        <f t="shared" si="11"/>
        <v>1.27500639536885E-2</v>
      </c>
    </row>
    <row r="72" spans="1:10" x14ac:dyDescent="0.25">
      <c r="A72" s="2">
        <f t="shared" si="5"/>
        <v>12.52</v>
      </c>
      <c r="B72" s="2">
        <f t="shared" si="6"/>
        <v>0</v>
      </c>
      <c r="C72" s="2">
        <f t="shared" si="7"/>
        <v>6.26</v>
      </c>
      <c r="D72" s="2">
        <f t="shared" si="8"/>
        <v>0</v>
      </c>
      <c r="E72" s="2">
        <f t="shared" si="7"/>
        <v>3.13</v>
      </c>
      <c r="F72" s="2">
        <f t="shared" si="9"/>
        <v>3.4650600000000002E-11</v>
      </c>
      <c r="G72" s="2">
        <f t="shared" si="7"/>
        <v>1.5649999999999999</v>
      </c>
      <c r="H72" s="2">
        <f t="shared" si="10"/>
        <v>4.4416426627400001E-4</v>
      </c>
      <c r="I72" s="2">
        <f t="shared" si="7"/>
        <v>0.78249999999999997</v>
      </c>
      <c r="J72" s="2">
        <f t="shared" si="11"/>
        <v>1.53026566421523E-2</v>
      </c>
    </row>
    <row r="73" spans="1:10" x14ac:dyDescent="0.25">
      <c r="A73" s="2">
        <f t="shared" si="5"/>
        <v>12.77</v>
      </c>
      <c r="B73" s="2">
        <f t="shared" si="6"/>
        <v>0</v>
      </c>
      <c r="C73" s="2">
        <f t="shared" si="7"/>
        <v>6.3849999999999998</v>
      </c>
      <c r="D73" s="2">
        <f t="shared" si="8"/>
        <v>0</v>
      </c>
      <c r="E73" s="2">
        <f t="shared" si="7"/>
        <v>3.1924999999999999</v>
      </c>
      <c r="F73" s="2">
        <f t="shared" si="9"/>
        <v>1.8449099999999999E-11</v>
      </c>
      <c r="G73" s="2">
        <f t="shared" si="7"/>
        <v>1.5962499999999999</v>
      </c>
      <c r="H73" s="2">
        <f t="shared" si="10"/>
        <v>3.230751693513E-4</v>
      </c>
      <c r="I73" s="2">
        <f t="shared" si="7"/>
        <v>0.79812499999999997</v>
      </c>
      <c r="J73" s="2">
        <f t="shared" si="11"/>
        <v>1.81655195204171E-2</v>
      </c>
    </row>
    <row r="74" spans="1:10" x14ac:dyDescent="0.25">
      <c r="A74" s="2">
        <f t="shared" si="5"/>
        <v>13.02</v>
      </c>
      <c r="B74" s="2">
        <f t="shared" si="6"/>
        <v>0</v>
      </c>
      <c r="C74" s="2">
        <f t="shared" si="7"/>
        <v>6.51</v>
      </c>
      <c r="D74" s="2">
        <f t="shared" si="8"/>
        <v>0</v>
      </c>
      <c r="E74" s="2">
        <f t="shared" si="7"/>
        <v>3.2549999999999999</v>
      </c>
      <c r="F74" s="2">
        <f t="shared" si="9"/>
        <v>9.8541999999999998E-12</v>
      </c>
      <c r="G74" s="2">
        <f t="shared" si="7"/>
        <v>1.6274999999999999</v>
      </c>
      <c r="H74" s="2">
        <f t="shared" si="10"/>
        <v>2.3456644767369999E-4</v>
      </c>
      <c r="I74" s="2">
        <f t="shared" si="7"/>
        <v>0.81374999999999997</v>
      </c>
      <c r="J74" s="2">
        <f t="shared" si="11"/>
        <v>2.1342663372571801E-2</v>
      </c>
    </row>
    <row r="75" spans="1:10" x14ac:dyDescent="0.25">
      <c r="A75" s="2">
        <f t="shared" ref="A75:A138" si="12">A74+B$2</f>
        <v>13.27</v>
      </c>
      <c r="B75" s="2">
        <f t="shared" ref="B75:B137" si="13">MIN(NORMSDIST((-LN(A75)+$B$1^2/2)/$B$1)-A75*NORMSDIST((-LN(A75)-$B$1^2/2)/$B$1),-NORMSDIST(-(-LN(A75)+$B$1^2/2)/$B$1)+A75*NORMSDIST(-(-LN(A75)-$B$1^2/2)/$B$1))/A75^2</f>
        <v>0</v>
      </c>
      <c r="C75" s="2">
        <f t="shared" ref="C75:I137" si="14">C74+D$2</f>
        <v>6.6349999999999998</v>
      </c>
      <c r="D75" s="2">
        <f t="shared" ref="D75:D137" si="15">MIN(NORMSDIST((-LN(C75)+$B$1^2/2)/$B$1)-C75*NORMSDIST((-LN(C75)-$B$1^2/2)/$B$1),-NORMSDIST(-(-LN(C75)+$B$1^2/2)/$B$1)+C75*NORMSDIST(-(-LN(C75)-$B$1^2/2)/$B$1))/C75^2</f>
        <v>0</v>
      </c>
      <c r="E75" s="2">
        <f t="shared" si="14"/>
        <v>3.3174999999999999</v>
      </c>
      <c r="F75" s="2">
        <f t="shared" ref="F75:F137" si="16">MIN(NORMSDIST((-LN(E75)+$B$1^2/2)/$B$1)-E75*NORMSDIST((-LN(E75)-$B$1^2/2)/$B$1),-NORMSDIST(-(-LN(E75)+$B$1^2/2)/$B$1)+E75*NORMSDIST(-(-LN(E75)-$B$1^2/2)/$B$1))/E75^2</f>
        <v>5.2802999999999996E-12</v>
      </c>
      <c r="G75" s="2">
        <f t="shared" si="14"/>
        <v>1.6587499999999999</v>
      </c>
      <c r="H75" s="2">
        <f t="shared" ref="H75:H137" si="17">MIN(NORMSDIST((-LN(G75)+$B$1^2/2)/$B$1)-G75*NORMSDIST((-LN(G75)-$B$1^2/2)/$B$1),-NORMSDIST(-(-LN(G75)+$B$1^2/2)/$B$1)+G75*NORMSDIST(-(-LN(G75)-$B$1^2/2)/$B$1))/G75^2</f>
        <v>1.7002084759510001E-4</v>
      </c>
      <c r="I75" s="2">
        <f t="shared" si="14"/>
        <v>0.82937499999999997</v>
      </c>
      <c r="J75" s="2">
        <f t="shared" ref="J75:J137" si="18">MIN(NORMSDIST((-LN(I75)+$B$1^2/2)/$B$1)-I75*NORMSDIST((-LN(I75)-$B$1^2/2)/$B$1),-NORMSDIST(-(-LN(I75)+$B$1^2/2)/$B$1)+I75*NORMSDIST(-(-LN(I75)-$B$1^2/2)/$B$1))/I75^2</f>
        <v>2.48337798675628E-2</v>
      </c>
    </row>
    <row r="76" spans="1:10" x14ac:dyDescent="0.25">
      <c r="A76" s="2">
        <f t="shared" si="12"/>
        <v>13.52</v>
      </c>
      <c r="B76" s="6">
        <f t="shared" si="13"/>
        <v>0</v>
      </c>
      <c r="C76" s="2">
        <f t="shared" si="14"/>
        <v>6.76</v>
      </c>
      <c r="D76" s="6">
        <f t="shared" si="15"/>
        <v>0</v>
      </c>
      <c r="E76" s="2">
        <f t="shared" si="14"/>
        <v>3.38</v>
      </c>
      <c r="F76" s="6">
        <f t="shared" si="16"/>
        <v>2.8387E-12</v>
      </c>
      <c r="G76" s="2">
        <f t="shared" si="14"/>
        <v>1.69</v>
      </c>
      <c r="H76" s="6">
        <f t="shared" si="17"/>
        <v>1.230495583522E-4</v>
      </c>
      <c r="I76" s="2">
        <f t="shared" si="14"/>
        <v>0.84499999999999997</v>
      </c>
      <c r="J76" s="6">
        <f t="shared" si="18"/>
        <v>2.8634262882984901E-2</v>
      </c>
    </row>
    <row r="77" spans="1:10" x14ac:dyDescent="0.25">
      <c r="A77" s="2">
        <f t="shared" si="12"/>
        <v>13.77</v>
      </c>
      <c r="B77" s="6">
        <f t="shared" si="13"/>
        <v>0</v>
      </c>
      <c r="C77" s="2">
        <f t="shared" si="14"/>
        <v>6.8849999999999998</v>
      </c>
      <c r="D77" s="6">
        <f t="shared" si="15"/>
        <v>0</v>
      </c>
      <c r="E77" s="2">
        <f t="shared" si="14"/>
        <v>3.4424999999999999</v>
      </c>
      <c r="F77" s="6">
        <f t="shared" si="16"/>
        <v>1.5311E-12</v>
      </c>
      <c r="G77" s="2">
        <f t="shared" si="14"/>
        <v>1.7212499999999999</v>
      </c>
      <c r="H77" s="6">
        <f t="shared" si="17"/>
        <v>8.8933077126800007E-5</v>
      </c>
      <c r="I77" s="2">
        <f t="shared" si="14"/>
        <v>0.86062499999999997</v>
      </c>
      <c r="J77" s="6">
        <f t="shared" si="18"/>
        <v>3.2735355804901903E-2</v>
      </c>
    </row>
    <row r="78" spans="1:10" x14ac:dyDescent="0.25">
      <c r="A78" s="2">
        <f t="shared" si="12"/>
        <v>14.02</v>
      </c>
      <c r="B78" s="6">
        <f t="shared" si="13"/>
        <v>0</v>
      </c>
      <c r="C78" s="2">
        <f t="shared" si="14"/>
        <v>7.01</v>
      </c>
      <c r="D78" s="6">
        <f t="shared" si="15"/>
        <v>0</v>
      </c>
      <c r="E78" s="2">
        <f t="shared" si="14"/>
        <v>3.5049999999999999</v>
      </c>
      <c r="F78" s="6">
        <f t="shared" si="16"/>
        <v>8.2849999999999995E-13</v>
      </c>
      <c r="G78" s="2">
        <f t="shared" ref="G78:G141" si="19">G77+H$2</f>
        <v>1.7524999999999999</v>
      </c>
      <c r="H78" s="6">
        <f t="shared" si="17"/>
        <v>6.4196607068799994E-5</v>
      </c>
      <c r="I78" s="2">
        <f t="shared" si="14"/>
        <v>0.87624999999999997</v>
      </c>
      <c r="J78" s="6">
        <f t="shared" si="18"/>
        <v>3.7124410259525599E-2</v>
      </c>
    </row>
    <row r="79" spans="1:10" x14ac:dyDescent="0.25">
      <c r="A79" s="2">
        <f t="shared" si="12"/>
        <v>14.27</v>
      </c>
      <c r="B79" s="6">
        <f t="shared" si="13"/>
        <v>0</v>
      </c>
      <c r="C79" s="2">
        <f t="shared" si="14"/>
        <v>7.1349999999999998</v>
      </c>
      <c r="D79" s="6">
        <f t="shared" si="15"/>
        <v>0</v>
      </c>
      <c r="E79" s="2">
        <f t="shared" si="14"/>
        <v>3.5674999999999999</v>
      </c>
      <c r="F79" s="6">
        <f t="shared" si="16"/>
        <v>4.4980000000000001E-13</v>
      </c>
      <c r="G79" s="2">
        <f t="shared" si="19"/>
        <v>1.7837499999999999</v>
      </c>
      <c r="H79" s="6">
        <f t="shared" si="17"/>
        <v>4.62895499859E-5</v>
      </c>
      <c r="I79" s="2">
        <f t="shared" si="14"/>
        <v>0.89187499999999997</v>
      </c>
      <c r="J79" s="6">
        <f t="shared" si="18"/>
        <v>4.17852381966878E-2</v>
      </c>
    </row>
    <row r="80" spans="1:10" x14ac:dyDescent="0.25">
      <c r="A80" s="2">
        <f t="shared" si="12"/>
        <v>14.52</v>
      </c>
      <c r="B80" s="6">
        <f t="shared" si="13"/>
        <v>0</v>
      </c>
      <c r="C80" s="2">
        <f t="shared" si="14"/>
        <v>7.26</v>
      </c>
      <c r="D80" s="6">
        <f t="shared" si="15"/>
        <v>0</v>
      </c>
      <c r="E80" s="2">
        <f t="shared" si="14"/>
        <v>3.63</v>
      </c>
      <c r="F80" s="6">
        <f t="shared" si="16"/>
        <v>2.4500000000000002E-13</v>
      </c>
      <c r="G80" s="2">
        <f t="shared" si="19"/>
        <v>1.8149999999999999</v>
      </c>
      <c r="H80" s="6">
        <f t="shared" si="17"/>
        <v>3.3344890150400003E-5</v>
      </c>
      <c r="I80" s="2">
        <f t="shared" si="14"/>
        <v>0.90749999999999997</v>
      </c>
      <c r="J80" s="6">
        <f t="shared" si="18"/>
        <v>4.66985371257434E-2</v>
      </c>
    </row>
    <row r="81" spans="1:10" x14ac:dyDescent="0.25">
      <c r="A81" s="2">
        <f t="shared" si="12"/>
        <v>14.77</v>
      </c>
      <c r="B81" s="6">
        <f t="shared" si="13"/>
        <v>0</v>
      </c>
      <c r="C81" s="2">
        <f t="shared" si="14"/>
        <v>7.3849999999999998</v>
      </c>
      <c r="D81" s="6">
        <f t="shared" si="15"/>
        <v>0</v>
      </c>
      <c r="E81" s="2">
        <f t="shared" si="14"/>
        <v>3.6924999999999999</v>
      </c>
      <c r="F81" s="6">
        <f t="shared" si="16"/>
        <v>1.3389999999999999E-13</v>
      </c>
      <c r="G81" s="2">
        <f t="shared" si="19"/>
        <v>1.8462499999999999</v>
      </c>
      <c r="H81" s="6">
        <f t="shared" si="17"/>
        <v>2.3999448166200001E-5</v>
      </c>
      <c r="I81" s="2">
        <f t="shared" si="14"/>
        <v>0.92312499999999997</v>
      </c>
      <c r="J81" s="6">
        <f t="shared" si="18"/>
        <v>5.1842367505795302E-2</v>
      </c>
    </row>
    <row r="82" spans="1:10" x14ac:dyDescent="0.25">
      <c r="A82" s="2">
        <f t="shared" si="12"/>
        <v>15.02</v>
      </c>
      <c r="B82" s="6">
        <f t="shared" si="13"/>
        <v>0</v>
      </c>
      <c r="C82" s="2">
        <f t="shared" si="14"/>
        <v>7.51</v>
      </c>
      <c r="D82" s="6">
        <f t="shared" si="15"/>
        <v>0</v>
      </c>
      <c r="E82" s="2">
        <f t="shared" si="14"/>
        <v>3.7549999999999999</v>
      </c>
      <c r="F82" s="6">
        <f t="shared" si="16"/>
        <v>7.3399999999999995E-14</v>
      </c>
      <c r="G82" s="2">
        <f t="shared" si="19"/>
        <v>1.8774999999999999</v>
      </c>
      <c r="H82" s="6">
        <f t="shared" si="17"/>
        <v>1.7260209674899998E-5</v>
      </c>
      <c r="I82" s="2">
        <f t="shared" si="14"/>
        <v>0.93874999999999997</v>
      </c>
      <c r="J82" s="6">
        <f t="shared" si="18"/>
        <v>5.7192661646133902E-2</v>
      </c>
    </row>
    <row r="83" spans="1:10" x14ac:dyDescent="0.25">
      <c r="A83" s="2">
        <f t="shared" si="12"/>
        <v>15.27</v>
      </c>
      <c r="B83" s="6">
        <f t="shared" si="13"/>
        <v>0</v>
      </c>
      <c r="C83" s="2">
        <f t="shared" si="14"/>
        <v>7.6349999999999998</v>
      </c>
      <c r="D83" s="6">
        <f t="shared" si="15"/>
        <v>0</v>
      </c>
      <c r="E83" s="2">
        <f t="shared" si="14"/>
        <v>3.8174999999999999</v>
      </c>
      <c r="F83" s="6">
        <f t="shared" si="16"/>
        <v>4.0399999999999997E-14</v>
      </c>
      <c r="G83" s="2">
        <f t="shared" si="19"/>
        <v>1.9087499999999999</v>
      </c>
      <c r="H83" s="6">
        <f t="shared" si="17"/>
        <v>1.24053245914E-5</v>
      </c>
      <c r="I83" s="2">
        <f t="shared" si="14"/>
        <v>0.95437499999999997</v>
      </c>
      <c r="J83" s="6">
        <f t="shared" si="18"/>
        <v>6.2723744767591003E-2</v>
      </c>
    </row>
    <row r="84" spans="1:10" x14ac:dyDescent="0.25">
      <c r="A84" s="2">
        <f t="shared" si="12"/>
        <v>15.52</v>
      </c>
      <c r="B84" s="6">
        <f t="shared" si="13"/>
        <v>0</v>
      </c>
      <c r="C84" s="2">
        <f t="shared" si="14"/>
        <v>7.76</v>
      </c>
      <c r="D84" s="6">
        <f t="shared" si="15"/>
        <v>0</v>
      </c>
      <c r="E84" s="2">
        <f t="shared" si="14"/>
        <v>3.88</v>
      </c>
      <c r="F84" s="6">
        <f t="shared" si="16"/>
        <v>2.23E-14</v>
      </c>
      <c r="G84" s="2">
        <f t="shared" si="19"/>
        <v>1.94</v>
      </c>
      <c r="H84" s="6">
        <f t="shared" si="17"/>
        <v>8.9110567211E-6</v>
      </c>
      <c r="I84" s="2">
        <f t="shared" si="14"/>
        <v>0.97</v>
      </c>
      <c r="J84" s="6">
        <f t="shared" si="18"/>
        <v>6.8408850879636399E-2</v>
      </c>
    </row>
    <row r="85" spans="1:10" x14ac:dyDescent="0.25">
      <c r="A85" s="2">
        <f t="shared" si="12"/>
        <v>15.77</v>
      </c>
      <c r="B85" s="6">
        <f t="shared" si="13"/>
        <v>0</v>
      </c>
      <c r="C85" s="2">
        <f t="shared" si="14"/>
        <v>7.8849999999999998</v>
      </c>
      <c r="D85" s="6">
        <f t="shared" si="15"/>
        <v>0</v>
      </c>
      <c r="E85" s="2">
        <f t="shared" si="14"/>
        <v>3.9424999999999999</v>
      </c>
      <c r="F85" s="6">
        <f t="shared" si="16"/>
        <v>1.24E-14</v>
      </c>
      <c r="G85" s="2">
        <f t="shared" si="19"/>
        <v>1.9712499999999999</v>
      </c>
      <c r="H85" s="6">
        <f t="shared" si="17"/>
        <v>6.3980635700000004E-6</v>
      </c>
      <c r="I85" s="2">
        <f t="shared" si="14"/>
        <v>0.98562499999999997</v>
      </c>
      <c r="J85" s="6">
        <f t="shared" si="18"/>
        <v>7.4220618611084505E-2</v>
      </c>
    </row>
    <row r="86" spans="1:10" x14ac:dyDescent="0.25">
      <c r="A86" s="2">
        <f t="shared" si="12"/>
        <v>16.02</v>
      </c>
      <c r="B86" s="6">
        <f t="shared" si="13"/>
        <v>0</v>
      </c>
      <c r="C86" s="2">
        <f t="shared" si="14"/>
        <v>8.01</v>
      </c>
      <c r="D86" s="6">
        <f t="shared" si="15"/>
        <v>0</v>
      </c>
      <c r="E86" s="2">
        <f t="shared" si="14"/>
        <v>4.0049999999999999</v>
      </c>
      <c r="F86" s="6">
        <f t="shared" si="16"/>
        <v>6.9000000000000001E-15</v>
      </c>
      <c r="G86" s="2">
        <f t="shared" si="19"/>
        <v>2.0024999999999999</v>
      </c>
      <c r="H86" s="6">
        <f t="shared" si="17"/>
        <v>4.5920124761000001E-6</v>
      </c>
      <c r="I86" s="2">
        <f t="shared" si="14"/>
        <v>1.00125</v>
      </c>
      <c r="J86" s="6">
        <f t="shared" si="18"/>
        <v>7.8884674030758703E-2</v>
      </c>
    </row>
    <row r="87" spans="1:10" x14ac:dyDescent="0.25">
      <c r="A87" s="2">
        <f t="shared" si="12"/>
        <v>16.27</v>
      </c>
      <c r="B87" s="6">
        <f t="shared" si="13"/>
        <v>0</v>
      </c>
      <c r="C87" s="2">
        <f t="shared" si="14"/>
        <v>8.1349999999999998</v>
      </c>
      <c r="D87" s="6">
        <f t="shared" si="15"/>
        <v>0</v>
      </c>
      <c r="E87" s="2">
        <f t="shared" si="14"/>
        <v>4.0674999999999999</v>
      </c>
      <c r="F87" s="6">
        <f t="shared" si="16"/>
        <v>3.8000000000000002E-15</v>
      </c>
      <c r="G87" s="2">
        <f t="shared" si="19"/>
        <v>2.0337499999999999</v>
      </c>
      <c r="H87" s="6">
        <f t="shared" si="17"/>
        <v>3.2947875071000002E-6</v>
      </c>
      <c r="I87" s="2">
        <f t="shared" si="14"/>
        <v>1.016875</v>
      </c>
      <c r="J87" s="6">
        <f t="shared" si="18"/>
        <v>6.9794889767922294E-2</v>
      </c>
    </row>
    <row r="88" spans="1:10" x14ac:dyDescent="0.25">
      <c r="A88" s="2">
        <f t="shared" si="12"/>
        <v>16.52</v>
      </c>
      <c r="B88" s="6">
        <f t="shared" si="13"/>
        <v>0</v>
      </c>
      <c r="C88" s="2">
        <f t="shared" si="14"/>
        <v>8.26</v>
      </c>
      <c r="D88" s="6">
        <f t="shared" si="15"/>
        <v>0</v>
      </c>
      <c r="E88" s="2">
        <f t="shared" si="14"/>
        <v>4.13</v>
      </c>
      <c r="F88" s="6">
        <f t="shared" si="16"/>
        <v>2.0999999999999998E-15</v>
      </c>
      <c r="G88" s="2">
        <f t="shared" si="19"/>
        <v>2.0649999999999999</v>
      </c>
      <c r="H88" s="6">
        <f t="shared" si="17"/>
        <v>2.3634922851E-6</v>
      </c>
      <c r="I88" s="2">
        <f t="shared" si="14"/>
        <v>1.0325</v>
      </c>
      <c r="J88" s="6">
        <f t="shared" si="18"/>
        <v>6.1656591303580102E-2</v>
      </c>
    </row>
    <row r="89" spans="1:10" x14ac:dyDescent="0.25">
      <c r="A89" s="2">
        <f t="shared" si="12"/>
        <v>16.77</v>
      </c>
      <c r="B89" s="6">
        <f t="shared" si="13"/>
        <v>0</v>
      </c>
      <c r="C89" s="2">
        <f t="shared" si="14"/>
        <v>8.3849999999999998</v>
      </c>
      <c r="D89" s="6">
        <f t="shared" si="15"/>
        <v>0</v>
      </c>
      <c r="E89" s="2">
        <f t="shared" si="14"/>
        <v>4.1924999999999999</v>
      </c>
      <c r="F89" s="6">
        <f t="shared" si="16"/>
        <v>1.2E-15</v>
      </c>
      <c r="G89" s="2">
        <f t="shared" si="19"/>
        <v>2.0962499999999999</v>
      </c>
      <c r="H89" s="6">
        <f t="shared" si="17"/>
        <v>1.6951729299000001E-6</v>
      </c>
      <c r="I89" s="2">
        <f t="shared" si="14"/>
        <v>1.048125</v>
      </c>
      <c r="J89" s="6">
        <f t="shared" si="18"/>
        <v>5.4383887338605497E-2</v>
      </c>
    </row>
    <row r="90" spans="1:10" x14ac:dyDescent="0.25">
      <c r="A90" s="2">
        <f t="shared" si="12"/>
        <v>17.02</v>
      </c>
      <c r="B90" s="6">
        <f t="shared" si="13"/>
        <v>0</v>
      </c>
      <c r="C90" s="2">
        <f t="shared" si="14"/>
        <v>8.51</v>
      </c>
      <c r="D90" s="6">
        <f t="shared" si="15"/>
        <v>0</v>
      </c>
      <c r="E90" s="2">
        <f t="shared" si="14"/>
        <v>4.2549999999999999</v>
      </c>
      <c r="F90" s="6">
        <f t="shared" si="16"/>
        <v>7.0000000000000003E-16</v>
      </c>
      <c r="G90" s="2">
        <f t="shared" si="19"/>
        <v>2.1274999999999999</v>
      </c>
      <c r="H90" s="6">
        <f t="shared" si="17"/>
        <v>1.2157257849E-6</v>
      </c>
      <c r="I90" s="2">
        <f t="shared" si="14"/>
        <v>1.06375</v>
      </c>
      <c r="J90" s="6">
        <f t="shared" si="18"/>
        <v>4.7896834860174202E-2</v>
      </c>
    </row>
    <row r="91" spans="1:10" x14ac:dyDescent="0.25">
      <c r="A91" s="2">
        <f t="shared" si="12"/>
        <v>17.27</v>
      </c>
      <c r="B91" s="6">
        <f t="shared" si="13"/>
        <v>0</v>
      </c>
      <c r="C91" s="2">
        <f t="shared" si="14"/>
        <v>8.6349999999999998</v>
      </c>
      <c r="D91" s="6">
        <f t="shared" si="15"/>
        <v>0</v>
      </c>
      <c r="E91" s="2">
        <f t="shared" si="14"/>
        <v>4.3174999999999999</v>
      </c>
      <c r="F91" s="6">
        <f t="shared" si="16"/>
        <v>3.9999999999999999E-16</v>
      </c>
      <c r="G91" s="2">
        <f t="shared" si="19"/>
        <v>2.1587499999999999</v>
      </c>
      <c r="H91" s="6">
        <f t="shared" si="17"/>
        <v>8.7185860850000001E-7</v>
      </c>
      <c r="I91" s="2">
        <f t="shared" si="14"/>
        <v>1.079375</v>
      </c>
      <c r="J91" s="6">
        <f t="shared" si="18"/>
        <v>4.2121232886277601E-2</v>
      </c>
    </row>
    <row r="92" spans="1:10" x14ac:dyDescent="0.25">
      <c r="A92" s="2">
        <f t="shared" si="12"/>
        <v>17.52</v>
      </c>
      <c r="B92" s="6">
        <f t="shared" si="13"/>
        <v>0</v>
      </c>
      <c r="C92" s="2">
        <f t="shared" si="14"/>
        <v>8.76</v>
      </c>
      <c r="D92" s="6">
        <f t="shared" si="15"/>
        <v>0</v>
      </c>
      <c r="E92" s="2">
        <f t="shared" si="14"/>
        <v>4.38</v>
      </c>
      <c r="F92" s="6">
        <f t="shared" si="16"/>
        <v>2E-16</v>
      </c>
      <c r="G92" s="2">
        <f t="shared" si="19"/>
        <v>2.19</v>
      </c>
      <c r="H92" s="6">
        <f t="shared" si="17"/>
        <v>6.2527443769999998E-7</v>
      </c>
      <c r="I92" s="2">
        <f t="shared" si="14"/>
        <v>1.095</v>
      </c>
      <c r="J92" s="6">
        <f t="shared" si="18"/>
        <v>3.6988407688969702E-2</v>
      </c>
    </row>
    <row r="93" spans="1:10" x14ac:dyDescent="0.25">
      <c r="A93" s="2">
        <f t="shared" si="12"/>
        <v>17.77</v>
      </c>
      <c r="B93" s="6">
        <f t="shared" si="13"/>
        <v>0</v>
      </c>
      <c r="C93" s="2">
        <f t="shared" si="14"/>
        <v>8.8849999999999998</v>
      </c>
      <c r="D93" s="6">
        <f t="shared" si="15"/>
        <v>0</v>
      </c>
      <c r="E93" s="2">
        <f t="shared" si="14"/>
        <v>4.4424999999999999</v>
      </c>
      <c r="F93" s="6">
        <f t="shared" si="16"/>
        <v>9.9999999999999998E-17</v>
      </c>
      <c r="G93" s="2">
        <f t="shared" si="19"/>
        <v>2.2212499999999999</v>
      </c>
      <c r="H93" s="6">
        <f t="shared" si="17"/>
        <v>4.4846989379999999E-7</v>
      </c>
      <c r="I93" s="2">
        <f t="shared" si="14"/>
        <v>1.110625</v>
      </c>
      <c r="J93" s="6">
        <f t="shared" si="18"/>
        <v>3.2434987719469399E-2</v>
      </c>
    </row>
    <row r="94" spans="1:10" x14ac:dyDescent="0.25">
      <c r="A94" s="2">
        <f t="shared" si="12"/>
        <v>18.02</v>
      </c>
      <c r="B94" s="6">
        <f t="shared" si="13"/>
        <v>0</v>
      </c>
      <c r="C94" s="2">
        <f t="shared" si="14"/>
        <v>9.01</v>
      </c>
      <c r="D94" s="6">
        <f t="shared" si="15"/>
        <v>0</v>
      </c>
      <c r="E94" s="2">
        <f t="shared" si="14"/>
        <v>4.5049999999999999</v>
      </c>
      <c r="F94" s="6">
        <f t="shared" si="16"/>
        <v>9.9999999999999998E-17</v>
      </c>
      <c r="G94" s="2">
        <f t="shared" si="19"/>
        <v>2.2524999999999999</v>
      </c>
      <c r="H94" s="6">
        <f t="shared" si="17"/>
        <v>3.2170387060000001E-7</v>
      </c>
      <c r="I94" s="2">
        <f t="shared" si="14"/>
        <v>1.12625</v>
      </c>
      <c r="J94" s="6">
        <f t="shared" si="18"/>
        <v>2.8402667996899E-2</v>
      </c>
    </row>
    <row r="95" spans="1:10" x14ac:dyDescent="0.25">
      <c r="A95" s="2">
        <f t="shared" si="12"/>
        <v>18.27</v>
      </c>
      <c r="B95" s="6">
        <f t="shared" si="13"/>
        <v>0</v>
      </c>
      <c r="C95" s="2">
        <f t="shared" si="14"/>
        <v>9.1349999999999998</v>
      </c>
      <c r="D95" s="6">
        <f t="shared" si="15"/>
        <v>0</v>
      </c>
      <c r="E95" s="2">
        <f t="shared" si="14"/>
        <v>4.5674999999999999</v>
      </c>
      <c r="F95" s="6">
        <f t="shared" si="16"/>
        <v>0</v>
      </c>
      <c r="G95" s="2">
        <f t="shared" si="19"/>
        <v>2.2837499999999999</v>
      </c>
      <c r="H95" s="6">
        <f t="shared" si="17"/>
        <v>2.3081320389999999E-7</v>
      </c>
      <c r="I95" s="2">
        <f t="shared" si="14"/>
        <v>1.141875</v>
      </c>
      <c r="J95" s="6">
        <f t="shared" si="18"/>
        <v>2.4837964869768501E-2</v>
      </c>
    </row>
    <row r="96" spans="1:10" x14ac:dyDescent="0.25">
      <c r="A96" s="2">
        <f t="shared" si="12"/>
        <v>18.52</v>
      </c>
      <c r="B96" s="6">
        <f t="shared" si="13"/>
        <v>0</v>
      </c>
      <c r="C96" s="2">
        <f t="shared" si="14"/>
        <v>9.26</v>
      </c>
      <c r="D96" s="6">
        <f t="shared" si="15"/>
        <v>0</v>
      </c>
      <c r="E96" s="2">
        <f t="shared" si="14"/>
        <v>4.63</v>
      </c>
      <c r="F96" s="6">
        <f t="shared" si="16"/>
        <v>0</v>
      </c>
      <c r="G96" s="2">
        <f t="shared" si="19"/>
        <v>2.3149999999999999</v>
      </c>
      <c r="H96" s="6">
        <f t="shared" si="17"/>
        <v>1.656403321E-7</v>
      </c>
      <c r="I96" s="2">
        <f t="shared" si="14"/>
        <v>1.1575</v>
      </c>
      <c r="J96" s="6">
        <f t="shared" si="18"/>
        <v>2.1691962864663E-2</v>
      </c>
    </row>
    <row r="97" spans="1:10" x14ac:dyDescent="0.25">
      <c r="A97" s="2">
        <f t="shared" si="12"/>
        <v>18.77</v>
      </c>
      <c r="B97" s="6">
        <f t="shared" si="13"/>
        <v>0</v>
      </c>
      <c r="C97" s="2">
        <f t="shared" si="14"/>
        <v>9.3849999999999998</v>
      </c>
      <c r="D97" s="6">
        <f t="shared" si="15"/>
        <v>0</v>
      </c>
      <c r="E97" s="2">
        <f t="shared" si="14"/>
        <v>4.6924999999999999</v>
      </c>
      <c r="F97" s="6">
        <f t="shared" si="16"/>
        <v>0</v>
      </c>
      <c r="G97" s="2">
        <f t="shared" si="19"/>
        <v>2.3462499999999999</v>
      </c>
      <c r="H97" s="6">
        <f t="shared" si="17"/>
        <v>1.189025343E-7</v>
      </c>
      <c r="I97" s="2">
        <f t="shared" si="14"/>
        <v>1.173125</v>
      </c>
      <c r="J97" s="6">
        <f t="shared" si="18"/>
        <v>1.8920055851395199E-2</v>
      </c>
    </row>
    <row r="98" spans="1:10" x14ac:dyDescent="0.25">
      <c r="A98" s="2">
        <f t="shared" si="12"/>
        <v>19.02</v>
      </c>
      <c r="B98" s="6">
        <f t="shared" si="13"/>
        <v>0</v>
      </c>
      <c r="C98" s="2">
        <f t="shared" si="14"/>
        <v>9.51</v>
      </c>
      <c r="D98" s="6">
        <f t="shared" si="15"/>
        <v>0</v>
      </c>
      <c r="E98" s="2">
        <f t="shared" si="14"/>
        <v>4.7549999999999999</v>
      </c>
      <c r="F98" s="6">
        <f t="shared" si="16"/>
        <v>0</v>
      </c>
      <c r="G98" s="2">
        <f t="shared" si="19"/>
        <v>2.3774999999999999</v>
      </c>
      <c r="H98" s="6">
        <f t="shared" si="17"/>
        <v>8.5379392300000004E-8</v>
      </c>
      <c r="I98" s="2">
        <f t="shared" si="14"/>
        <v>1.18875</v>
      </c>
      <c r="J98" s="6">
        <f t="shared" si="18"/>
        <v>1.64816850291351E-2</v>
      </c>
    </row>
    <row r="99" spans="1:10" x14ac:dyDescent="0.25">
      <c r="A99" s="2">
        <f t="shared" si="12"/>
        <v>19.27</v>
      </c>
      <c r="B99" s="6">
        <f t="shared" si="13"/>
        <v>0</v>
      </c>
      <c r="C99" s="2">
        <f t="shared" si="14"/>
        <v>9.6349999999999998</v>
      </c>
      <c r="D99" s="6">
        <f t="shared" si="15"/>
        <v>0</v>
      </c>
      <c r="E99" s="2">
        <f t="shared" si="14"/>
        <v>4.8174999999999999</v>
      </c>
      <c r="F99" s="6">
        <f t="shared" si="16"/>
        <v>0</v>
      </c>
      <c r="G99" s="2">
        <f t="shared" si="19"/>
        <v>2.4087499999999999</v>
      </c>
      <c r="H99" s="6">
        <f t="shared" si="17"/>
        <v>6.1329329299999994E-8</v>
      </c>
      <c r="I99" s="2">
        <f t="shared" si="14"/>
        <v>1.204375</v>
      </c>
      <c r="J99" s="6">
        <f t="shared" si="18"/>
        <v>1.4340076322016299E-2</v>
      </c>
    </row>
    <row r="100" spans="1:10" x14ac:dyDescent="0.25">
      <c r="A100" s="2">
        <f t="shared" si="12"/>
        <v>19.52</v>
      </c>
      <c r="B100" s="6">
        <f t="shared" si="13"/>
        <v>0</v>
      </c>
      <c r="C100" s="2">
        <f t="shared" si="14"/>
        <v>9.76</v>
      </c>
      <c r="D100" s="6">
        <f t="shared" si="15"/>
        <v>0</v>
      </c>
      <c r="E100" s="2">
        <f t="shared" si="14"/>
        <v>4.88</v>
      </c>
      <c r="F100" s="6">
        <f t="shared" si="16"/>
        <v>0</v>
      </c>
      <c r="G100" s="2">
        <f t="shared" si="19"/>
        <v>2.44</v>
      </c>
      <c r="H100" s="6">
        <f t="shared" si="17"/>
        <v>4.4070892399999997E-8</v>
      </c>
      <c r="I100" s="2">
        <f t="shared" si="14"/>
        <v>1.22</v>
      </c>
      <c r="J100" s="6">
        <f t="shared" si="18"/>
        <v>1.24619797097741E-2</v>
      </c>
    </row>
    <row r="101" spans="1:10" x14ac:dyDescent="0.25">
      <c r="A101" s="2">
        <f t="shared" si="12"/>
        <v>19.77</v>
      </c>
      <c r="B101" s="6">
        <f t="shared" si="13"/>
        <v>0</v>
      </c>
      <c r="C101" s="2">
        <f t="shared" si="14"/>
        <v>9.8849999999999998</v>
      </c>
      <c r="D101" s="6">
        <f t="shared" si="15"/>
        <v>0</v>
      </c>
      <c r="E101" s="2">
        <f t="shared" si="14"/>
        <v>4.9424999999999999</v>
      </c>
      <c r="F101" s="6">
        <f t="shared" si="16"/>
        <v>0</v>
      </c>
      <c r="G101" s="2">
        <f t="shared" si="19"/>
        <v>2.4712499999999999</v>
      </c>
      <c r="H101" s="6">
        <f t="shared" si="17"/>
        <v>3.16824137E-8</v>
      </c>
      <c r="I101" s="2">
        <f t="shared" si="14"/>
        <v>1.235625</v>
      </c>
      <c r="J101" s="6">
        <f t="shared" si="18"/>
        <v>1.0817412848382999E-2</v>
      </c>
    </row>
    <row r="102" spans="1:10" x14ac:dyDescent="0.25">
      <c r="A102" s="2">
        <f t="shared" si="12"/>
        <v>20.02</v>
      </c>
      <c r="B102" s="6">
        <f t="shared" si="13"/>
        <v>0</v>
      </c>
      <c r="C102" s="2">
        <f t="shared" si="14"/>
        <v>10.01</v>
      </c>
      <c r="D102" s="6">
        <f t="shared" si="15"/>
        <v>0</v>
      </c>
      <c r="E102" s="2">
        <f t="shared" si="14"/>
        <v>5.0049999999999999</v>
      </c>
      <c r="F102" s="6">
        <f t="shared" si="16"/>
        <v>0</v>
      </c>
      <c r="G102" s="2">
        <f t="shared" si="19"/>
        <v>2.5024999999999999</v>
      </c>
      <c r="H102" s="6">
        <f t="shared" si="17"/>
        <v>2.2786670799999998E-8</v>
      </c>
      <c r="I102" s="2">
        <f t="shared" si="14"/>
        <v>1.25125</v>
      </c>
      <c r="J102" s="6">
        <f t="shared" si="18"/>
        <v>9.3794110913960008E-3</v>
      </c>
    </row>
    <row r="103" spans="1:10" x14ac:dyDescent="0.25">
      <c r="A103" s="2">
        <f t="shared" si="12"/>
        <v>20.27</v>
      </c>
      <c r="B103" s="6">
        <f t="shared" si="13"/>
        <v>0</v>
      </c>
      <c r="C103" s="2">
        <f t="shared" si="14"/>
        <v>10.135</v>
      </c>
      <c r="D103" s="6">
        <f t="shared" si="15"/>
        <v>0</v>
      </c>
      <c r="E103" s="2">
        <f t="shared" si="14"/>
        <v>5.0674999999999999</v>
      </c>
      <c r="F103" s="6">
        <f t="shared" si="16"/>
        <v>0</v>
      </c>
      <c r="G103" s="2">
        <f t="shared" si="19"/>
        <v>2.5337499999999999</v>
      </c>
      <c r="H103" s="6">
        <f t="shared" si="17"/>
        <v>1.6396541899999999E-8</v>
      </c>
      <c r="I103" s="2">
        <f t="shared" si="14"/>
        <v>1.266875</v>
      </c>
      <c r="J103" s="6">
        <f t="shared" si="18"/>
        <v>8.1237857331237992E-3</v>
      </c>
    </row>
    <row r="104" spans="1:10" x14ac:dyDescent="0.25">
      <c r="A104" s="2">
        <f t="shared" si="12"/>
        <v>20.52</v>
      </c>
      <c r="B104" s="6">
        <f t="shared" si="13"/>
        <v>0</v>
      </c>
      <c r="C104" s="2">
        <f t="shared" si="14"/>
        <v>10.26</v>
      </c>
      <c r="D104" s="6">
        <f t="shared" si="15"/>
        <v>0</v>
      </c>
      <c r="E104" s="2">
        <f t="shared" si="14"/>
        <v>5.13</v>
      </c>
      <c r="F104" s="6">
        <f t="shared" si="16"/>
        <v>0</v>
      </c>
      <c r="G104" s="2">
        <f t="shared" si="19"/>
        <v>2.5649999999999999</v>
      </c>
      <c r="H104" s="6">
        <f t="shared" si="17"/>
        <v>1.18044074E-8</v>
      </c>
      <c r="I104" s="2">
        <f t="shared" si="14"/>
        <v>1.2825</v>
      </c>
      <c r="J104" s="6">
        <f t="shared" si="18"/>
        <v>7.0288919830841E-3</v>
      </c>
    </row>
    <row r="105" spans="1:10" x14ac:dyDescent="0.25">
      <c r="A105" s="2">
        <f t="shared" si="12"/>
        <v>20.77</v>
      </c>
      <c r="B105" s="6">
        <f t="shared" si="13"/>
        <v>0</v>
      </c>
      <c r="C105" s="2">
        <f t="shared" si="14"/>
        <v>10.385</v>
      </c>
      <c r="D105" s="6">
        <f t="shared" si="15"/>
        <v>0</v>
      </c>
      <c r="E105" s="2">
        <f t="shared" si="14"/>
        <v>5.1924999999999999</v>
      </c>
      <c r="F105" s="6">
        <f t="shared" si="16"/>
        <v>0</v>
      </c>
      <c r="G105" s="2">
        <f t="shared" si="19"/>
        <v>2.5962499999999999</v>
      </c>
      <c r="H105" s="6">
        <f t="shared" si="17"/>
        <v>8.5029119000000001E-9</v>
      </c>
      <c r="I105" s="2">
        <f t="shared" si="14"/>
        <v>1.298125</v>
      </c>
      <c r="J105" s="6">
        <f t="shared" si="18"/>
        <v>6.0754078654525001E-3</v>
      </c>
    </row>
    <row r="106" spans="1:10" x14ac:dyDescent="0.25">
      <c r="A106" s="2">
        <f t="shared" si="12"/>
        <v>21.02</v>
      </c>
      <c r="B106" s="6">
        <f t="shared" si="13"/>
        <v>0</v>
      </c>
      <c r="C106" s="2">
        <f t="shared" si="14"/>
        <v>10.51</v>
      </c>
      <c r="D106" s="6">
        <f t="shared" si="15"/>
        <v>0</v>
      </c>
      <c r="E106" s="2">
        <f t="shared" si="14"/>
        <v>5.2549999999999999</v>
      </c>
      <c r="F106" s="6">
        <f t="shared" si="16"/>
        <v>0</v>
      </c>
      <c r="G106" s="2">
        <f t="shared" si="19"/>
        <v>2.6274999999999999</v>
      </c>
      <c r="H106" s="6">
        <f t="shared" si="17"/>
        <v>6.1282016000000001E-9</v>
      </c>
      <c r="I106" s="2">
        <f t="shared" si="14"/>
        <v>1.31375</v>
      </c>
      <c r="J106" s="6">
        <f t="shared" si="18"/>
        <v>5.2461249313352004E-3</v>
      </c>
    </row>
    <row r="107" spans="1:10" x14ac:dyDescent="0.25">
      <c r="A107" s="2">
        <f t="shared" si="12"/>
        <v>21.27</v>
      </c>
      <c r="B107" s="6">
        <f t="shared" si="13"/>
        <v>0</v>
      </c>
      <c r="C107" s="2">
        <f t="shared" si="14"/>
        <v>10.635</v>
      </c>
      <c r="D107" s="6">
        <f t="shared" si="15"/>
        <v>0</v>
      </c>
      <c r="E107" s="2">
        <f t="shared" si="14"/>
        <v>5.3174999999999999</v>
      </c>
      <c r="F107" s="6">
        <f t="shared" si="16"/>
        <v>0</v>
      </c>
      <c r="G107" s="2">
        <f t="shared" si="19"/>
        <v>2.6587499999999999</v>
      </c>
      <c r="H107" s="6">
        <f t="shared" si="17"/>
        <v>4.4192638000000003E-9</v>
      </c>
      <c r="I107" s="2">
        <f t="shared" si="14"/>
        <v>1.329375</v>
      </c>
      <c r="J107" s="6">
        <f t="shared" si="18"/>
        <v>4.5257513854383997E-3</v>
      </c>
    </row>
    <row r="108" spans="1:10" x14ac:dyDescent="0.25">
      <c r="A108" s="2">
        <f t="shared" si="12"/>
        <v>21.52</v>
      </c>
      <c r="B108" s="6">
        <f t="shared" si="13"/>
        <v>0</v>
      </c>
      <c r="C108" s="2">
        <f t="shared" si="14"/>
        <v>10.76</v>
      </c>
      <c r="D108" s="6">
        <f t="shared" si="15"/>
        <v>0</v>
      </c>
      <c r="E108" s="2">
        <f t="shared" si="14"/>
        <v>5.38</v>
      </c>
      <c r="F108" s="6">
        <f t="shared" si="16"/>
        <v>0</v>
      </c>
      <c r="G108" s="2">
        <f t="shared" si="19"/>
        <v>2.69</v>
      </c>
      <c r="H108" s="6">
        <f t="shared" si="17"/>
        <v>3.1888004000000001E-9</v>
      </c>
      <c r="I108" s="2">
        <f t="shared" si="14"/>
        <v>1.345</v>
      </c>
      <c r="J108" s="6">
        <f t="shared" si="18"/>
        <v>3.9007279687664998E-3</v>
      </c>
    </row>
    <row r="109" spans="1:10" x14ac:dyDescent="0.25">
      <c r="A109" s="2">
        <f t="shared" si="12"/>
        <v>21.77</v>
      </c>
      <c r="B109" s="6">
        <f t="shared" si="13"/>
        <v>0</v>
      </c>
      <c r="C109" s="2">
        <f t="shared" si="14"/>
        <v>10.885</v>
      </c>
      <c r="D109" s="6">
        <f t="shared" si="15"/>
        <v>0</v>
      </c>
      <c r="E109" s="2">
        <f t="shared" si="14"/>
        <v>5.4424999999999999</v>
      </c>
      <c r="F109" s="6">
        <f t="shared" si="16"/>
        <v>0</v>
      </c>
      <c r="G109" s="2">
        <f t="shared" si="19"/>
        <v>2.7212499999999999</v>
      </c>
      <c r="H109" s="6">
        <f t="shared" si="17"/>
        <v>2.3023625999999999E-9</v>
      </c>
      <c r="I109" s="2">
        <f t="shared" si="14"/>
        <v>1.360625</v>
      </c>
      <c r="J109" s="6">
        <f t="shared" si="18"/>
        <v>3.3590567092662E-3</v>
      </c>
    </row>
    <row r="110" spans="1:10" x14ac:dyDescent="0.25">
      <c r="A110" s="2">
        <f t="shared" si="12"/>
        <v>22.02</v>
      </c>
      <c r="B110" s="6">
        <f t="shared" si="13"/>
        <v>0</v>
      </c>
      <c r="C110" s="2">
        <f t="shared" si="14"/>
        <v>11.01</v>
      </c>
      <c r="D110" s="6">
        <f t="shared" si="15"/>
        <v>0</v>
      </c>
      <c r="E110" s="2">
        <f t="shared" si="14"/>
        <v>5.5049999999999999</v>
      </c>
      <c r="F110" s="6">
        <f t="shared" si="16"/>
        <v>0</v>
      </c>
      <c r="G110" s="2">
        <f t="shared" si="19"/>
        <v>2.7524999999999999</v>
      </c>
      <c r="H110" s="6">
        <f t="shared" si="17"/>
        <v>1.6634007999999999E-9</v>
      </c>
      <c r="I110" s="2">
        <f t="shared" si="14"/>
        <v>1.37625</v>
      </c>
      <c r="J110" s="6">
        <f t="shared" si="18"/>
        <v>2.8901424546255998E-3</v>
      </c>
    </row>
    <row r="111" spans="1:10" x14ac:dyDescent="0.25">
      <c r="A111" s="2">
        <f t="shared" si="12"/>
        <v>22.27</v>
      </c>
      <c r="B111" s="6">
        <f t="shared" si="13"/>
        <v>0</v>
      </c>
      <c r="C111" s="2">
        <f t="shared" si="14"/>
        <v>11.135</v>
      </c>
      <c r="D111" s="6">
        <f t="shared" si="15"/>
        <v>0</v>
      </c>
      <c r="E111" s="2">
        <f t="shared" si="14"/>
        <v>5.5674999999999999</v>
      </c>
      <c r="F111" s="6">
        <f t="shared" si="16"/>
        <v>0</v>
      </c>
      <c r="G111" s="2">
        <f t="shared" si="19"/>
        <v>2.7837499999999999</v>
      </c>
      <c r="H111" s="6">
        <f t="shared" si="17"/>
        <v>1.2025530999999999E-9</v>
      </c>
      <c r="I111" s="2">
        <f t="shared" si="14"/>
        <v>1.391875</v>
      </c>
      <c r="J111" s="6">
        <f t="shared" si="18"/>
        <v>2.4846469358392E-3</v>
      </c>
    </row>
    <row r="112" spans="1:10" x14ac:dyDescent="0.25">
      <c r="A112" s="2">
        <f t="shared" si="12"/>
        <v>22.52</v>
      </c>
      <c r="B112" s="6">
        <f t="shared" si="13"/>
        <v>0</v>
      </c>
      <c r="C112" s="2">
        <f t="shared" si="14"/>
        <v>11.26</v>
      </c>
      <c r="D112" s="6">
        <f t="shared" si="15"/>
        <v>0</v>
      </c>
      <c r="E112" s="2">
        <f t="shared" si="14"/>
        <v>5.63</v>
      </c>
      <c r="F112" s="6">
        <f t="shared" si="16"/>
        <v>0</v>
      </c>
      <c r="G112" s="2">
        <f t="shared" si="19"/>
        <v>2.8149999999999999</v>
      </c>
      <c r="H112" s="6">
        <f t="shared" si="17"/>
        <v>8.699666E-10</v>
      </c>
      <c r="I112" s="2">
        <f t="shared" si="14"/>
        <v>1.4075</v>
      </c>
      <c r="J112" s="6">
        <f t="shared" si="18"/>
        <v>2.1343549755419001E-3</v>
      </c>
    </row>
    <row r="113" spans="1:10" x14ac:dyDescent="0.25">
      <c r="A113" s="2">
        <f t="shared" si="12"/>
        <v>22.77</v>
      </c>
      <c r="B113" s="6">
        <f t="shared" si="13"/>
        <v>0</v>
      </c>
      <c r="C113" s="2">
        <f t="shared" si="14"/>
        <v>11.385</v>
      </c>
      <c r="D113" s="6">
        <f t="shared" si="15"/>
        <v>0</v>
      </c>
      <c r="E113" s="2">
        <f t="shared" si="14"/>
        <v>5.6924999999999999</v>
      </c>
      <c r="F113" s="6">
        <f t="shared" si="16"/>
        <v>0</v>
      </c>
      <c r="G113" s="2">
        <f t="shared" si="19"/>
        <v>2.8462499999999999</v>
      </c>
      <c r="H113" s="6">
        <f t="shared" si="17"/>
        <v>6.2979359999999996E-10</v>
      </c>
      <c r="I113" s="2">
        <f t="shared" si="14"/>
        <v>1.423125</v>
      </c>
      <c r="J113" s="6">
        <f t="shared" si="18"/>
        <v>1.8320523494830001E-3</v>
      </c>
    </row>
    <row r="114" spans="1:10" x14ac:dyDescent="0.25">
      <c r="A114" s="2">
        <f t="shared" si="12"/>
        <v>23.02</v>
      </c>
      <c r="B114" s="6">
        <f t="shared" si="13"/>
        <v>0</v>
      </c>
      <c r="C114" s="2">
        <f t="shared" si="14"/>
        <v>11.51</v>
      </c>
      <c r="D114" s="6">
        <f t="shared" si="15"/>
        <v>0</v>
      </c>
      <c r="E114" s="2">
        <f t="shared" si="14"/>
        <v>5.7549999999999999</v>
      </c>
      <c r="F114" s="6">
        <f t="shared" si="16"/>
        <v>0</v>
      </c>
      <c r="G114" s="2">
        <f t="shared" si="19"/>
        <v>2.8774999999999999</v>
      </c>
      <c r="H114" s="6">
        <f t="shared" si="17"/>
        <v>4.5624409999999998E-10</v>
      </c>
      <c r="I114" s="2">
        <f t="shared" si="14"/>
        <v>1.43875</v>
      </c>
      <c r="J114" s="6">
        <f t="shared" si="18"/>
        <v>1.5714147302912001E-3</v>
      </c>
    </row>
    <row r="115" spans="1:10" x14ac:dyDescent="0.25">
      <c r="A115" s="2">
        <f t="shared" si="12"/>
        <v>23.27</v>
      </c>
      <c r="B115" s="6">
        <f t="shared" si="13"/>
        <v>0</v>
      </c>
      <c r="C115" s="2">
        <f t="shared" si="14"/>
        <v>11.635</v>
      </c>
      <c r="D115" s="6">
        <f t="shared" si="15"/>
        <v>0</v>
      </c>
      <c r="E115" s="2">
        <f t="shared" si="14"/>
        <v>5.8174999999999999</v>
      </c>
      <c r="F115" s="6">
        <f t="shared" si="16"/>
        <v>0</v>
      </c>
      <c r="G115" s="2">
        <f t="shared" si="19"/>
        <v>2.9087499999999999</v>
      </c>
      <c r="H115" s="6">
        <f t="shared" si="17"/>
        <v>3.3075390000000002E-10</v>
      </c>
      <c r="I115" s="2">
        <f t="shared" si="14"/>
        <v>1.454375</v>
      </c>
      <c r="J115" s="6">
        <f t="shared" si="18"/>
        <v>1.3469070869732999E-3</v>
      </c>
    </row>
    <row r="116" spans="1:10" x14ac:dyDescent="0.25">
      <c r="A116" s="2">
        <f t="shared" si="12"/>
        <v>23.52</v>
      </c>
      <c r="B116" s="6">
        <f t="shared" si="13"/>
        <v>0</v>
      </c>
      <c r="C116" s="2">
        <f t="shared" si="14"/>
        <v>11.76</v>
      </c>
      <c r="D116" s="6">
        <f t="shared" si="15"/>
        <v>0</v>
      </c>
      <c r="E116" s="2">
        <f t="shared" si="14"/>
        <v>5.88</v>
      </c>
      <c r="F116" s="6">
        <f t="shared" si="16"/>
        <v>0</v>
      </c>
      <c r="G116" s="2">
        <f t="shared" si="19"/>
        <v>2.94</v>
      </c>
      <c r="H116" s="6">
        <f t="shared" si="17"/>
        <v>2.3995320000000002E-10</v>
      </c>
      <c r="I116" s="2">
        <f t="shared" si="14"/>
        <v>1.47</v>
      </c>
      <c r="J116" s="6">
        <f t="shared" si="18"/>
        <v>1.1536928783618999E-3</v>
      </c>
    </row>
    <row r="117" spans="1:10" x14ac:dyDescent="0.25">
      <c r="A117" s="2">
        <f t="shared" si="12"/>
        <v>23.77</v>
      </c>
      <c r="B117" s="6">
        <f t="shared" si="13"/>
        <v>0</v>
      </c>
      <c r="C117" s="2">
        <f t="shared" si="14"/>
        <v>11.885</v>
      </c>
      <c r="D117" s="6">
        <f t="shared" si="15"/>
        <v>0</v>
      </c>
      <c r="E117" s="2">
        <f t="shared" si="14"/>
        <v>5.9424999999999999</v>
      </c>
      <c r="F117" s="6">
        <f t="shared" si="16"/>
        <v>0</v>
      </c>
      <c r="G117" s="2">
        <f t="shared" si="19"/>
        <v>2.9712499999999999</v>
      </c>
      <c r="H117" s="6">
        <f t="shared" si="17"/>
        <v>1.7420749999999999E-10</v>
      </c>
      <c r="I117" s="2">
        <f t="shared" si="14"/>
        <v>1.485625</v>
      </c>
      <c r="J117" s="6">
        <f t="shared" si="18"/>
        <v>9.8755236097249999E-4</v>
      </c>
    </row>
    <row r="118" spans="1:10" x14ac:dyDescent="0.25">
      <c r="A118" s="2">
        <f t="shared" si="12"/>
        <v>24.02</v>
      </c>
      <c r="B118" s="6">
        <f t="shared" si="13"/>
        <v>0</v>
      </c>
      <c r="C118" s="2">
        <f t="shared" si="14"/>
        <v>12.01</v>
      </c>
      <c r="D118" s="6">
        <f t="shared" si="15"/>
        <v>0</v>
      </c>
      <c r="E118" s="2">
        <f t="shared" si="14"/>
        <v>6.0049999999999999</v>
      </c>
      <c r="F118" s="6">
        <f t="shared" si="16"/>
        <v>0</v>
      </c>
      <c r="G118" s="2">
        <f t="shared" si="19"/>
        <v>3.0024999999999999</v>
      </c>
      <c r="H118" s="6">
        <f t="shared" si="17"/>
        <v>1.265698E-10</v>
      </c>
      <c r="I118" s="2">
        <f t="shared" si="14"/>
        <v>1.50125</v>
      </c>
      <c r="J118" s="6">
        <f t="shared" si="18"/>
        <v>8.4480932855440002E-4</v>
      </c>
    </row>
    <row r="119" spans="1:10" x14ac:dyDescent="0.25">
      <c r="A119" s="2">
        <f t="shared" si="12"/>
        <v>24.27</v>
      </c>
      <c r="B119" s="6">
        <f t="shared" si="13"/>
        <v>0</v>
      </c>
      <c r="C119" s="2">
        <f t="shared" si="14"/>
        <v>12.135</v>
      </c>
      <c r="D119" s="6">
        <f t="shared" si="15"/>
        <v>0</v>
      </c>
      <c r="E119" s="2">
        <f t="shared" si="14"/>
        <v>6.0674999999999999</v>
      </c>
      <c r="F119" s="6">
        <f t="shared" si="16"/>
        <v>0</v>
      </c>
      <c r="G119" s="2">
        <f t="shared" si="19"/>
        <v>3.0337499999999999</v>
      </c>
      <c r="H119" s="6">
        <f t="shared" si="17"/>
        <v>9.2028100000000006E-11</v>
      </c>
      <c r="I119" s="2">
        <f t="shared" si="14"/>
        <v>1.516875</v>
      </c>
      <c r="J119" s="6">
        <f t="shared" si="18"/>
        <v>7.2226560932080002E-4</v>
      </c>
    </row>
    <row r="120" spans="1:10" x14ac:dyDescent="0.25">
      <c r="A120" s="2">
        <f t="shared" si="12"/>
        <v>24.52</v>
      </c>
      <c r="B120" s="6">
        <f t="shared" si="13"/>
        <v>0</v>
      </c>
      <c r="C120" s="2">
        <f t="shared" si="14"/>
        <v>12.26</v>
      </c>
      <c r="D120" s="6">
        <f t="shared" si="15"/>
        <v>0</v>
      </c>
      <c r="E120" s="2">
        <f t="shared" si="14"/>
        <v>6.13</v>
      </c>
      <c r="F120" s="6">
        <f t="shared" si="16"/>
        <v>0</v>
      </c>
      <c r="G120" s="2">
        <f t="shared" si="19"/>
        <v>3.0649999999999999</v>
      </c>
      <c r="H120" s="6">
        <f t="shared" si="17"/>
        <v>6.6964000000000003E-11</v>
      </c>
      <c r="I120" s="2">
        <f t="shared" si="14"/>
        <v>1.5325</v>
      </c>
      <c r="J120" s="6">
        <f t="shared" si="18"/>
        <v>6.1714266497300005E-4</v>
      </c>
    </row>
    <row r="121" spans="1:10" x14ac:dyDescent="0.25">
      <c r="A121" s="2">
        <f t="shared" si="12"/>
        <v>24.77</v>
      </c>
      <c r="B121" s="6">
        <f t="shared" si="13"/>
        <v>0</v>
      </c>
      <c r="C121" s="2">
        <f t="shared" si="14"/>
        <v>12.385</v>
      </c>
      <c r="D121" s="6">
        <f t="shared" si="15"/>
        <v>0</v>
      </c>
      <c r="E121" s="2">
        <f t="shared" si="14"/>
        <v>6.1924999999999999</v>
      </c>
      <c r="F121" s="6">
        <f t="shared" si="16"/>
        <v>0</v>
      </c>
      <c r="G121" s="2">
        <f t="shared" si="19"/>
        <v>3.0962499999999999</v>
      </c>
      <c r="H121" s="6">
        <f t="shared" si="17"/>
        <v>4.8763699999999998E-11</v>
      </c>
      <c r="I121" s="2">
        <f t="shared" si="14"/>
        <v>1.548125</v>
      </c>
      <c r="J121" s="6">
        <f t="shared" si="18"/>
        <v>5.2702966099930004E-4</v>
      </c>
    </row>
    <row r="122" spans="1:10" x14ac:dyDescent="0.25">
      <c r="A122" s="2">
        <f t="shared" si="12"/>
        <v>25.02</v>
      </c>
      <c r="B122" s="6">
        <f t="shared" si="13"/>
        <v>0</v>
      </c>
      <c r="C122" s="2">
        <f t="shared" si="14"/>
        <v>12.51</v>
      </c>
      <c r="D122" s="6">
        <f t="shared" si="15"/>
        <v>0</v>
      </c>
      <c r="E122" s="2">
        <f t="shared" si="14"/>
        <v>6.2549999999999999</v>
      </c>
      <c r="F122" s="6">
        <f t="shared" si="16"/>
        <v>0</v>
      </c>
      <c r="G122" s="2">
        <f t="shared" si="19"/>
        <v>3.1274999999999999</v>
      </c>
      <c r="H122" s="6">
        <f t="shared" si="17"/>
        <v>3.5537699999999998E-11</v>
      </c>
      <c r="I122" s="2">
        <f t="shared" si="14"/>
        <v>1.56375</v>
      </c>
      <c r="J122" s="6">
        <f t="shared" si="18"/>
        <v>4.4983740840739999E-4</v>
      </c>
    </row>
    <row r="123" spans="1:10" x14ac:dyDescent="0.25">
      <c r="A123" s="2">
        <f t="shared" si="12"/>
        <v>25.27</v>
      </c>
      <c r="B123" s="6">
        <f t="shared" si="13"/>
        <v>0</v>
      </c>
      <c r="C123" s="2">
        <f t="shared" si="14"/>
        <v>12.635</v>
      </c>
      <c r="D123" s="6">
        <f t="shared" si="15"/>
        <v>0</v>
      </c>
      <c r="E123" s="2">
        <f t="shared" si="14"/>
        <v>6.3174999999999999</v>
      </c>
      <c r="F123" s="6">
        <f t="shared" si="16"/>
        <v>0</v>
      </c>
      <c r="G123" s="2">
        <f t="shared" si="19"/>
        <v>3.1587499999999999</v>
      </c>
      <c r="H123" s="6">
        <f t="shared" si="17"/>
        <v>2.59192E-11</v>
      </c>
      <c r="I123" s="2">
        <f t="shared" si="14"/>
        <v>1.579375</v>
      </c>
      <c r="J123" s="6">
        <f t="shared" si="18"/>
        <v>3.8375761141159998E-4</v>
      </c>
    </row>
    <row r="124" spans="1:10" x14ac:dyDescent="0.25">
      <c r="A124" s="2">
        <f t="shared" si="12"/>
        <v>25.52</v>
      </c>
      <c r="B124" s="6">
        <f t="shared" si="13"/>
        <v>0</v>
      </c>
      <c r="C124" s="2">
        <f t="shared" si="14"/>
        <v>12.76</v>
      </c>
      <c r="D124" s="6">
        <f t="shared" si="15"/>
        <v>0</v>
      </c>
      <c r="E124" s="2">
        <f t="shared" si="14"/>
        <v>6.38</v>
      </c>
      <c r="F124" s="6">
        <f t="shared" si="16"/>
        <v>0</v>
      </c>
      <c r="G124" s="2">
        <f t="shared" si="19"/>
        <v>3.19</v>
      </c>
      <c r="H124" s="6">
        <f t="shared" si="17"/>
        <v>1.8918999999999999E-11</v>
      </c>
      <c r="I124" s="2">
        <f t="shared" si="14"/>
        <v>1.595</v>
      </c>
      <c r="J124" s="6">
        <f t="shared" si="18"/>
        <v>3.2722689223340002E-4</v>
      </c>
    </row>
    <row r="125" spans="1:10" x14ac:dyDescent="0.25">
      <c r="A125" s="2">
        <f t="shared" si="12"/>
        <v>25.77</v>
      </c>
      <c r="B125" s="6">
        <f t="shared" si="13"/>
        <v>0</v>
      </c>
      <c r="C125" s="2">
        <f t="shared" si="14"/>
        <v>12.885</v>
      </c>
      <c r="D125" s="6">
        <f t="shared" si="15"/>
        <v>0</v>
      </c>
      <c r="E125" s="2">
        <f t="shared" si="14"/>
        <v>6.4424999999999999</v>
      </c>
      <c r="F125" s="6">
        <f t="shared" si="16"/>
        <v>0</v>
      </c>
      <c r="G125" s="2">
        <f t="shared" si="19"/>
        <v>3.2212499999999999</v>
      </c>
      <c r="H125" s="6">
        <f t="shared" si="17"/>
        <v>1.3820300000000001E-11</v>
      </c>
      <c r="I125" s="2">
        <f t="shared" si="14"/>
        <v>1.610625</v>
      </c>
      <c r="J125" s="6">
        <f t="shared" si="18"/>
        <v>2.788951019585E-4</v>
      </c>
    </row>
    <row r="126" spans="1:10" x14ac:dyDescent="0.25">
      <c r="A126" s="2">
        <f t="shared" si="12"/>
        <v>26.02</v>
      </c>
      <c r="B126" s="6">
        <f t="shared" si="13"/>
        <v>0</v>
      </c>
      <c r="C126" s="2">
        <f t="shared" si="14"/>
        <v>13.01</v>
      </c>
      <c r="D126" s="6">
        <f t="shared" si="15"/>
        <v>0</v>
      </c>
      <c r="E126" s="2">
        <f t="shared" si="14"/>
        <v>6.5049999999999999</v>
      </c>
      <c r="F126" s="6">
        <f t="shared" si="16"/>
        <v>0</v>
      </c>
      <c r="G126" s="2">
        <f t="shared" si="19"/>
        <v>3.2524999999999999</v>
      </c>
      <c r="H126" s="6">
        <f t="shared" si="17"/>
        <v>1.0103800000000001E-11</v>
      </c>
      <c r="I126" s="2">
        <f t="shared" si="14"/>
        <v>1.62625</v>
      </c>
      <c r="J126" s="6">
        <f t="shared" si="18"/>
        <v>2.3759746437660001E-4</v>
      </c>
    </row>
    <row r="127" spans="1:10" x14ac:dyDescent="0.25">
      <c r="A127" s="2">
        <f t="shared" si="12"/>
        <v>26.27</v>
      </c>
      <c r="B127" s="6">
        <f t="shared" si="13"/>
        <v>0</v>
      </c>
      <c r="C127" s="2">
        <f t="shared" si="14"/>
        <v>13.135</v>
      </c>
      <c r="D127" s="6">
        <f t="shared" si="15"/>
        <v>0</v>
      </c>
      <c r="E127" s="2">
        <f t="shared" si="14"/>
        <v>6.5674999999999999</v>
      </c>
      <c r="F127" s="6">
        <f t="shared" si="16"/>
        <v>0</v>
      </c>
      <c r="G127" s="2">
        <f t="shared" si="19"/>
        <v>3.2837499999999999</v>
      </c>
      <c r="H127" s="6">
        <f t="shared" si="17"/>
        <v>7.3926999999999994E-12</v>
      </c>
      <c r="I127" s="2">
        <f t="shared" si="14"/>
        <v>1.641875</v>
      </c>
      <c r="J127" s="6">
        <f t="shared" si="18"/>
        <v>2.0233013718629999E-4</v>
      </c>
    </row>
    <row r="128" spans="1:10" x14ac:dyDescent="0.25">
      <c r="A128" s="2">
        <f t="shared" si="12"/>
        <v>26.52</v>
      </c>
      <c r="B128" s="6">
        <f t="shared" si="13"/>
        <v>0</v>
      </c>
      <c r="C128" s="2">
        <f t="shared" si="14"/>
        <v>13.26</v>
      </c>
      <c r="D128" s="6">
        <f t="shared" si="15"/>
        <v>0</v>
      </c>
      <c r="E128" s="2">
        <f t="shared" si="14"/>
        <v>6.63</v>
      </c>
      <c r="F128" s="6">
        <f t="shared" si="16"/>
        <v>0</v>
      </c>
      <c r="G128" s="2">
        <f t="shared" si="19"/>
        <v>3.3149999999999999</v>
      </c>
      <c r="H128" s="6">
        <f t="shared" si="17"/>
        <v>5.4134000000000003E-12</v>
      </c>
      <c r="I128" s="2">
        <f t="shared" si="14"/>
        <v>1.6575</v>
      </c>
      <c r="J128" s="6">
        <f t="shared" si="18"/>
        <v>1.722288112968E-4</v>
      </c>
    </row>
    <row r="129" spans="1:10" x14ac:dyDescent="0.25">
      <c r="A129" s="2">
        <f t="shared" si="12"/>
        <v>26.77</v>
      </c>
      <c r="B129" s="6">
        <f t="shared" si="13"/>
        <v>0</v>
      </c>
      <c r="C129" s="2">
        <f t="shared" si="14"/>
        <v>13.385</v>
      </c>
      <c r="D129" s="6">
        <f t="shared" si="15"/>
        <v>0</v>
      </c>
      <c r="E129" s="2">
        <f t="shared" si="14"/>
        <v>6.6924999999999999</v>
      </c>
      <c r="F129" s="6">
        <f t="shared" si="16"/>
        <v>0</v>
      </c>
      <c r="G129" s="2">
        <f t="shared" si="19"/>
        <v>3.3462499999999999</v>
      </c>
      <c r="H129" s="6">
        <f t="shared" si="17"/>
        <v>3.9672999999999999E-12</v>
      </c>
      <c r="I129" s="2">
        <f t="shared" si="14"/>
        <v>1.673125</v>
      </c>
      <c r="J129" s="6">
        <f t="shared" si="18"/>
        <v>1.465500037858E-4</v>
      </c>
    </row>
    <row r="130" spans="1:10" x14ac:dyDescent="0.25">
      <c r="A130" s="2">
        <f t="shared" si="12"/>
        <v>27.02</v>
      </c>
      <c r="B130" s="6">
        <f t="shared" si="13"/>
        <v>0</v>
      </c>
      <c r="C130" s="2">
        <f t="shared" si="14"/>
        <v>13.51</v>
      </c>
      <c r="D130" s="6">
        <f t="shared" si="15"/>
        <v>0</v>
      </c>
      <c r="E130" s="2">
        <f t="shared" si="14"/>
        <v>6.7549999999999999</v>
      </c>
      <c r="F130" s="6">
        <f t="shared" si="16"/>
        <v>0</v>
      </c>
      <c r="G130" s="2">
        <f t="shared" si="19"/>
        <v>3.3774999999999999</v>
      </c>
      <c r="H130" s="6">
        <f t="shared" si="17"/>
        <v>2.9098999999999999E-12</v>
      </c>
      <c r="I130" s="2">
        <f t="shared" si="14"/>
        <v>1.68875</v>
      </c>
      <c r="J130" s="6">
        <f t="shared" si="18"/>
        <v>1.24654733072E-4</v>
      </c>
    </row>
    <row r="131" spans="1:10" x14ac:dyDescent="0.25">
      <c r="A131" s="2">
        <f t="shared" si="12"/>
        <v>27.27</v>
      </c>
      <c r="B131" s="6">
        <f t="shared" si="13"/>
        <v>0</v>
      </c>
      <c r="C131" s="2">
        <f t="shared" si="14"/>
        <v>13.635</v>
      </c>
      <c r="D131" s="6">
        <f t="shared" si="15"/>
        <v>0</v>
      </c>
      <c r="E131" s="2">
        <f t="shared" si="14"/>
        <v>6.8174999999999999</v>
      </c>
      <c r="F131" s="6">
        <f t="shared" si="16"/>
        <v>0</v>
      </c>
      <c r="G131" s="2">
        <f t="shared" si="19"/>
        <v>3.4087499999999999</v>
      </c>
      <c r="H131" s="6">
        <f t="shared" si="17"/>
        <v>2.1360000000000002E-12</v>
      </c>
      <c r="I131" s="2">
        <f t="shared" si="14"/>
        <v>1.704375</v>
      </c>
      <c r="J131" s="6">
        <f t="shared" si="18"/>
        <v>1.05994295837E-4</v>
      </c>
    </row>
    <row r="132" spans="1:10" x14ac:dyDescent="0.25">
      <c r="A132" s="2">
        <f t="shared" si="12"/>
        <v>27.52</v>
      </c>
      <c r="B132" s="6">
        <f t="shared" si="13"/>
        <v>0</v>
      </c>
      <c r="C132" s="2">
        <f t="shared" si="14"/>
        <v>13.76</v>
      </c>
      <c r="D132" s="6">
        <f t="shared" si="15"/>
        <v>0</v>
      </c>
      <c r="E132" s="2">
        <f t="shared" si="14"/>
        <v>6.88</v>
      </c>
      <c r="F132" s="6">
        <f t="shared" si="16"/>
        <v>0</v>
      </c>
      <c r="G132" s="2">
        <f t="shared" si="19"/>
        <v>3.44</v>
      </c>
      <c r="H132" s="6">
        <f t="shared" si="17"/>
        <v>1.5692E-12</v>
      </c>
      <c r="I132" s="2">
        <f t="shared" si="14"/>
        <v>1.72</v>
      </c>
      <c r="J132" s="6">
        <f t="shared" si="18"/>
        <v>9.0097894070499996E-5</v>
      </c>
    </row>
    <row r="133" spans="1:10" x14ac:dyDescent="0.25">
      <c r="A133" s="2">
        <f t="shared" si="12"/>
        <v>27.77</v>
      </c>
      <c r="B133" s="6">
        <f t="shared" si="13"/>
        <v>0</v>
      </c>
      <c r="C133" s="2">
        <f t="shared" si="14"/>
        <v>13.885</v>
      </c>
      <c r="D133" s="6">
        <f t="shared" si="15"/>
        <v>0</v>
      </c>
      <c r="E133" s="2">
        <f t="shared" si="14"/>
        <v>6.9424999999999999</v>
      </c>
      <c r="F133" s="6">
        <f t="shared" si="16"/>
        <v>0</v>
      </c>
      <c r="G133" s="2">
        <f t="shared" si="19"/>
        <v>3.4712499999999999</v>
      </c>
      <c r="H133" s="6">
        <f t="shared" si="17"/>
        <v>1.1538E-12</v>
      </c>
      <c r="I133" s="2">
        <f t="shared" si="14"/>
        <v>1.735625</v>
      </c>
      <c r="J133" s="6">
        <f t="shared" si="18"/>
        <v>7.6561887265899994E-5</v>
      </c>
    </row>
    <row r="134" spans="1:10" x14ac:dyDescent="0.25">
      <c r="A134" s="2">
        <f t="shared" si="12"/>
        <v>28.02</v>
      </c>
      <c r="B134" s="6">
        <f t="shared" si="13"/>
        <v>0</v>
      </c>
      <c r="C134" s="2">
        <f t="shared" si="14"/>
        <v>14.01</v>
      </c>
      <c r="D134" s="6">
        <f t="shared" si="15"/>
        <v>0</v>
      </c>
      <c r="E134" s="2">
        <f t="shared" si="14"/>
        <v>7.0049999999999999</v>
      </c>
      <c r="F134" s="6">
        <f t="shared" si="16"/>
        <v>0</v>
      </c>
      <c r="G134" s="2">
        <f t="shared" si="19"/>
        <v>3.5024999999999999</v>
      </c>
      <c r="H134" s="6">
        <f t="shared" si="17"/>
        <v>8.4909999999999999E-13</v>
      </c>
      <c r="I134" s="2">
        <f t="shared" si="14"/>
        <v>1.75125</v>
      </c>
      <c r="J134" s="6">
        <f t="shared" si="18"/>
        <v>6.5040469275399993E-5</v>
      </c>
    </row>
    <row r="135" spans="1:10" x14ac:dyDescent="0.25">
      <c r="A135" s="2">
        <f t="shared" si="12"/>
        <v>28.27</v>
      </c>
      <c r="B135" s="6">
        <f t="shared" si="13"/>
        <v>0</v>
      </c>
      <c r="C135" s="2">
        <f t="shared" si="14"/>
        <v>14.135</v>
      </c>
      <c r="D135" s="6">
        <f t="shared" si="15"/>
        <v>0</v>
      </c>
      <c r="E135" s="2">
        <f t="shared" si="14"/>
        <v>7.0674999999999999</v>
      </c>
      <c r="F135" s="6">
        <f t="shared" si="16"/>
        <v>0</v>
      </c>
      <c r="G135" s="2">
        <f t="shared" si="19"/>
        <v>3.5337499999999999</v>
      </c>
      <c r="H135" s="6">
        <f t="shared" si="17"/>
        <v>6.2529999999999997E-13</v>
      </c>
      <c r="I135" s="2">
        <f t="shared" si="14"/>
        <v>1.766875</v>
      </c>
      <c r="J135" s="6">
        <f t="shared" si="18"/>
        <v>5.52375916832E-5</v>
      </c>
    </row>
    <row r="136" spans="1:10" x14ac:dyDescent="0.25">
      <c r="A136" s="2">
        <f t="shared" si="12"/>
        <v>28.52</v>
      </c>
      <c r="B136" s="6">
        <f t="shared" si="13"/>
        <v>0</v>
      </c>
      <c r="C136" s="2">
        <f t="shared" si="14"/>
        <v>14.26</v>
      </c>
      <c r="D136" s="6">
        <f t="shared" si="15"/>
        <v>0</v>
      </c>
      <c r="E136" s="2">
        <f t="shared" si="14"/>
        <v>7.13</v>
      </c>
      <c r="F136" s="6">
        <f t="shared" si="16"/>
        <v>0</v>
      </c>
      <c r="G136" s="2">
        <f t="shared" si="19"/>
        <v>3.5649999999999999</v>
      </c>
      <c r="H136" s="6">
        <f t="shared" si="17"/>
        <v>4.6089999999999998E-13</v>
      </c>
      <c r="I136" s="2">
        <f t="shared" si="14"/>
        <v>1.7825</v>
      </c>
      <c r="J136" s="6">
        <f t="shared" si="18"/>
        <v>4.6899975862700001E-5</v>
      </c>
    </row>
    <row r="137" spans="1:10" x14ac:dyDescent="0.25">
      <c r="A137" s="2">
        <f t="shared" si="12"/>
        <v>28.77</v>
      </c>
      <c r="B137" s="6">
        <f t="shared" si="13"/>
        <v>0</v>
      </c>
      <c r="C137" s="2">
        <f t="shared" si="14"/>
        <v>14.385</v>
      </c>
      <c r="D137" s="6">
        <f t="shared" si="15"/>
        <v>0</v>
      </c>
      <c r="E137" s="2">
        <f t="shared" si="14"/>
        <v>7.1924999999999999</v>
      </c>
      <c r="F137" s="6">
        <f t="shared" si="16"/>
        <v>0</v>
      </c>
      <c r="G137" s="2">
        <f t="shared" si="19"/>
        <v>3.5962499999999999</v>
      </c>
      <c r="H137" s="6">
        <f t="shared" si="17"/>
        <v>3.4000000000000002E-13</v>
      </c>
      <c r="I137" s="2">
        <f t="shared" si="14"/>
        <v>1.798125</v>
      </c>
      <c r="J137" s="6">
        <f t="shared" si="18"/>
        <v>3.9811074236799998E-5</v>
      </c>
    </row>
    <row r="138" spans="1:10" x14ac:dyDescent="0.25">
      <c r="A138" s="2">
        <f t="shared" si="12"/>
        <v>29.02</v>
      </c>
      <c r="B138" s="6">
        <f t="shared" ref="B138:B201" si="20">MIN(NORMSDIST((-LN(A138)+$B$1^2/2)/$B$1)-A138*NORMSDIST((-LN(A138)-$B$1^2/2)/$B$1),-NORMSDIST(-(-LN(A138)+$B$1^2/2)/$B$1)+A138*NORMSDIST(-(-LN(A138)-$B$1^2/2)/$B$1))/A138^2</f>
        <v>0</v>
      </c>
      <c r="C138" s="2">
        <f t="shared" ref="C138:I201" si="21">C137+D$2</f>
        <v>14.51</v>
      </c>
      <c r="D138" s="6">
        <f t="shared" ref="D138:D201" si="22">MIN(NORMSDIST((-LN(C138)+$B$1^2/2)/$B$1)-C138*NORMSDIST((-LN(C138)-$B$1^2/2)/$B$1),-NORMSDIST(-(-LN(C138)+$B$1^2/2)/$B$1)+C138*NORMSDIST(-(-LN(C138)-$B$1^2/2)/$B$1))/C138^2</f>
        <v>0</v>
      </c>
      <c r="E138" s="2">
        <f t="shared" si="21"/>
        <v>7.2549999999999999</v>
      </c>
      <c r="F138" s="6">
        <f t="shared" ref="F138:F201" si="23">MIN(NORMSDIST((-LN(E138)+$B$1^2/2)/$B$1)-E138*NORMSDIST((-LN(E138)-$B$1^2/2)/$B$1),-NORMSDIST(-(-LN(E138)+$B$1^2/2)/$B$1)+E138*NORMSDIST(-(-LN(E138)-$B$1^2/2)/$B$1))/E138^2</f>
        <v>0</v>
      </c>
      <c r="G138" s="2">
        <f t="shared" si="19"/>
        <v>3.6274999999999999</v>
      </c>
      <c r="H138" s="6">
        <f t="shared" ref="H138:H201" si="24">MIN(NORMSDIST((-LN(G138)+$B$1^2/2)/$B$1)-G138*NORMSDIST((-LN(G138)-$B$1^2/2)/$B$1),-NORMSDIST(-(-LN(G138)+$B$1^2/2)/$B$1)+G138*NORMSDIST(-(-LN(G138)-$B$1^2/2)/$B$1))/G138^2</f>
        <v>2.5099999999999999E-13</v>
      </c>
      <c r="I138" s="2">
        <f t="shared" si="21"/>
        <v>1.81375</v>
      </c>
      <c r="J138" s="6">
        <f t="shared" ref="J138:J201" si="25">MIN(NORMSDIST((-LN(I138)+$B$1^2/2)/$B$1)-I138*NORMSDIST((-LN(I138)-$B$1^2/2)/$B$1),-NORMSDIST(-(-LN(I138)+$B$1^2/2)/$B$1)+I138*NORMSDIST(-(-LN(I138)-$B$1^2/2)/$B$1))/I138^2</f>
        <v>3.3785857790499997E-5</v>
      </c>
    </row>
    <row r="139" spans="1:10" x14ac:dyDescent="0.25">
      <c r="A139" s="2">
        <f t="shared" ref="A139:A202" si="26">A138+B$2</f>
        <v>29.27</v>
      </c>
      <c r="B139" s="6">
        <f t="shared" si="20"/>
        <v>0</v>
      </c>
      <c r="C139" s="2">
        <f t="shared" si="21"/>
        <v>14.635</v>
      </c>
      <c r="D139" s="6">
        <f t="shared" si="22"/>
        <v>0</v>
      </c>
      <c r="E139" s="2">
        <f t="shared" si="21"/>
        <v>7.3174999999999999</v>
      </c>
      <c r="F139" s="6">
        <f t="shared" si="23"/>
        <v>0</v>
      </c>
      <c r="G139" s="2">
        <f t="shared" si="19"/>
        <v>3.6587499999999999</v>
      </c>
      <c r="H139" s="6">
        <f t="shared" si="24"/>
        <v>1.8549999999999999E-13</v>
      </c>
      <c r="I139" s="2">
        <f t="shared" si="21"/>
        <v>1.829375</v>
      </c>
      <c r="J139" s="6">
        <f t="shared" si="25"/>
        <v>2.86663216973E-5</v>
      </c>
    </row>
    <row r="140" spans="1:10" x14ac:dyDescent="0.25">
      <c r="A140" s="2">
        <f t="shared" si="26"/>
        <v>29.52</v>
      </c>
      <c r="B140" s="6">
        <f t="shared" si="20"/>
        <v>0</v>
      </c>
      <c r="C140" s="2">
        <f t="shared" si="21"/>
        <v>14.76</v>
      </c>
      <c r="D140" s="6">
        <f t="shared" si="22"/>
        <v>0</v>
      </c>
      <c r="E140" s="2">
        <f t="shared" si="21"/>
        <v>7.38</v>
      </c>
      <c r="F140" s="6">
        <f t="shared" si="23"/>
        <v>0</v>
      </c>
      <c r="G140" s="2">
        <f t="shared" si="19"/>
        <v>3.69</v>
      </c>
      <c r="H140" s="6">
        <f t="shared" si="24"/>
        <v>1.3720000000000001E-13</v>
      </c>
      <c r="I140" s="2">
        <f t="shared" si="21"/>
        <v>1.845</v>
      </c>
      <c r="J140" s="6">
        <f t="shared" si="25"/>
        <v>2.4317614166299999E-5</v>
      </c>
    </row>
    <row r="141" spans="1:10" x14ac:dyDescent="0.25">
      <c r="A141" s="2">
        <f t="shared" si="26"/>
        <v>29.77</v>
      </c>
      <c r="B141" s="6">
        <f t="shared" si="20"/>
        <v>0</v>
      </c>
      <c r="C141" s="2">
        <f t="shared" si="21"/>
        <v>14.885</v>
      </c>
      <c r="D141" s="6">
        <f t="shared" si="22"/>
        <v>0</v>
      </c>
      <c r="E141" s="2">
        <f t="shared" si="21"/>
        <v>7.4424999999999999</v>
      </c>
      <c r="F141" s="6">
        <f t="shared" si="23"/>
        <v>0</v>
      </c>
      <c r="G141" s="2">
        <f t="shared" si="19"/>
        <v>3.7212499999999999</v>
      </c>
      <c r="H141" s="6">
        <f t="shared" si="24"/>
        <v>1.015E-13</v>
      </c>
      <c r="I141" s="2">
        <f t="shared" si="21"/>
        <v>1.860625</v>
      </c>
      <c r="J141" s="6">
        <f t="shared" si="25"/>
        <v>2.0624705399300001E-5</v>
      </c>
    </row>
    <row r="142" spans="1:10" x14ac:dyDescent="0.25">
      <c r="A142" s="2">
        <f t="shared" si="26"/>
        <v>30.02</v>
      </c>
      <c r="B142" s="6">
        <f t="shared" si="20"/>
        <v>0</v>
      </c>
      <c r="C142" s="2">
        <f t="shared" si="21"/>
        <v>15.01</v>
      </c>
      <c r="D142" s="6">
        <f t="shared" si="22"/>
        <v>0</v>
      </c>
      <c r="E142" s="2">
        <f t="shared" si="21"/>
        <v>7.5049999999999999</v>
      </c>
      <c r="F142" s="6">
        <f t="shared" si="23"/>
        <v>0</v>
      </c>
      <c r="G142" s="2">
        <f t="shared" ref="G142:G205" si="27">G141+H$2</f>
        <v>3.7524999999999999</v>
      </c>
      <c r="H142" s="6">
        <f t="shared" si="24"/>
        <v>7.5199999999999998E-14</v>
      </c>
      <c r="I142" s="2">
        <f t="shared" si="21"/>
        <v>1.87625</v>
      </c>
      <c r="J142" s="6">
        <f t="shared" si="25"/>
        <v>1.7489524016600001E-5</v>
      </c>
    </row>
    <row r="143" spans="1:10" x14ac:dyDescent="0.25">
      <c r="A143" s="2">
        <f t="shared" si="26"/>
        <v>30.27</v>
      </c>
      <c r="B143" s="6">
        <f t="shared" si="20"/>
        <v>0</v>
      </c>
      <c r="C143" s="2">
        <f t="shared" si="21"/>
        <v>15.135</v>
      </c>
      <c r="D143" s="6">
        <f t="shared" si="22"/>
        <v>0</v>
      </c>
      <c r="E143" s="2">
        <f t="shared" si="21"/>
        <v>7.5674999999999999</v>
      </c>
      <c r="F143" s="6">
        <f t="shared" si="23"/>
        <v>0</v>
      </c>
      <c r="G143" s="2">
        <f t="shared" si="27"/>
        <v>3.7837499999999999</v>
      </c>
      <c r="H143" s="6">
        <f t="shared" si="24"/>
        <v>5.58E-14</v>
      </c>
      <c r="I143" s="2">
        <f t="shared" si="21"/>
        <v>1.891875</v>
      </c>
      <c r="J143" s="6">
        <f t="shared" si="25"/>
        <v>1.4828497569099999E-5</v>
      </c>
    </row>
    <row r="144" spans="1:10" x14ac:dyDescent="0.25">
      <c r="A144" s="2">
        <f t="shared" si="26"/>
        <v>30.52</v>
      </c>
      <c r="B144" s="6">
        <f t="shared" si="20"/>
        <v>0</v>
      </c>
      <c r="C144" s="2">
        <f t="shared" si="21"/>
        <v>15.26</v>
      </c>
      <c r="D144" s="6">
        <f t="shared" si="22"/>
        <v>0</v>
      </c>
      <c r="E144" s="2">
        <f t="shared" si="21"/>
        <v>7.63</v>
      </c>
      <c r="F144" s="6">
        <f t="shared" si="23"/>
        <v>0</v>
      </c>
      <c r="G144" s="2">
        <f t="shared" si="27"/>
        <v>3.8149999999999999</v>
      </c>
      <c r="H144" s="6">
        <f t="shared" si="24"/>
        <v>4.1399999999999999E-14</v>
      </c>
      <c r="I144" s="2">
        <f t="shared" si="21"/>
        <v>1.9075</v>
      </c>
      <c r="J144" s="6">
        <f t="shared" si="25"/>
        <v>1.2570441933699999E-5</v>
      </c>
    </row>
    <row r="145" spans="1:10" x14ac:dyDescent="0.25">
      <c r="A145" s="2">
        <f t="shared" si="26"/>
        <v>30.77</v>
      </c>
      <c r="B145" s="6">
        <f t="shared" si="20"/>
        <v>0</v>
      </c>
      <c r="C145" s="2">
        <f t="shared" si="21"/>
        <v>15.385</v>
      </c>
      <c r="D145" s="6">
        <f t="shared" si="22"/>
        <v>0</v>
      </c>
      <c r="E145" s="2">
        <f t="shared" si="21"/>
        <v>7.6924999999999999</v>
      </c>
      <c r="F145" s="6">
        <f t="shared" si="23"/>
        <v>0</v>
      </c>
      <c r="G145" s="2">
        <f t="shared" si="27"/>
        <v>3.8462499999999999</v>
      </c>
      <c r="H145" s="6">
        <f t="shared" si="24"/>
        <v>3.0699999999999998E-14</v>
      </c>
      <c r="I145" s="2">
        <f t="shared" si="21"/>
        <v>1.923125</v>
      </c>
      <c r="J145" s="6">
        <f t="shared" si="25"/>
        <v>1.0654751586900001E-5</v>
      </c>
    </row>
    <row r="146" spans="1:10" x14ac:dyDescent="0.25">
      <c r="A146" s="2">
        <f t="shared" si="26"/>
        <v>31.02</v>
      </c>
      <c r="B146" s="6">
        <f t="shared" si="20"/>
        <v>0</v>
      </c>
      <c r="C146" s="2">
        <f t="shared" si="21"/>
        <v>15.51</v>
      </c>
      <c r="D146" s="6">
        <f t="shared" si="22"/>
        <v>0</v>
      </c>
      <c r="E146" s="2">
        <f t="shared" si="21"/>
        <v>7.7549999999999999</v>
      </c>
      <c r="F146" s="6">
        <f t="shared" si="23"/>
        <v>0</v>
      </c>
      <c r="G146" s="2">
        <f t="shared" si="27"/>
        <v>3.8774999999999999</v>
      </c>
      <c r="H146" s="6">
        <f t="shared" si="24"/>
        <v>2.2800000000000001E-14</v>
      </c>
      <c r="I146" s="2">
        <f t="shared" si="21"/>
        <v>1.93875</v>
      </c>
      <c r="J146" s="6">
        <f t="shared" si="25"/>
        <v>9.0298490781999996E-6</v>
      </c>
    </row>
    <row r="147" spans="1:10" x14ac:dyDescent="0.25">
      <c r="A147" s="2">
        <f t="shared" si="26"/>
        <v>31.27</v>
      </c>
      <c r="B147" s="6">
        <f t="shared" si="20"/>
        <v>0</v>
      </c>
      <c r="C147" s="2">
        <f t="shared" si="21"/>
        <v>15.635</v>
      </c>
      <c r="D147" s="6">
        <f t="shared" si="22"/>
        <v>0</v>
      </c>
      <c r="E147" s="2">
        <f t="shared" si="21"/>
        <v>7.8174999999999999</v>
      </c>
      <c r="F147" s="6">
        <f t="shared" si="23"/>
        <v>0</v>
      </c>
      <c r="G147" s="2">
        <f t="shared" si="27"/>
        <v>3.9087499999999999</v>
      </c>
      <c r="H147" s="6">
        <f t="shared" si="24"/>
        <v>1.7E-14</v>
      </c>
      <c r="I147" s="2">
        <f t="shared" si="21"/>
        <v>1.954375</v>
      </c>
      <c r="J147" s="6">
        <f t="shared" si="25"/>
        <v>7.6518575670999993E-6</v>
      </c>
    </row>
    <row r="148" spans="1:10" x14ac:dyDescent="0.25">
      <c r="A148" s="2">
        <f t="shared" si="26"/>
        <v>31.52</v>
      </c>
      <c r="B148" s="6">
        <f t="shared" si="20"/>
        <v>0</v>
      </c>
      <c r="C148" s="2">
        <f t="shared" si="21"/>
        <v>15.76</v>
      </c>
      <c r="D148" s="6">
        <f t="shared" si="22"/>
        <v>0</v>
      </c>
      <c r="E148" s="2">
        <f t="shared" si="21"/>
        <v>7.88</v>
      </c>
      <c r="F148" s="6">
        <f t="shared" si="23"/>
        <v>0</v>
      </c>
      <c r="G148" s="2">
        <f t="shared" si="27"/>
        <v>3.94</v>
      </c>
      <c r="H148" s="6">
        <f t="shared" si="24"/>
        <v>1.26E-14</v>
      </c>
      <c r="I148" s="2">
        <f t="shared" si="21"/>
        <v>1.97</v>
      </c>
      <c r="J148" s="6">
        <f t="shared" si="25"/>
        <v>6.4834651405000002E-6</v>
      </c>
    </row>
    <row r="149" spans="1:10" x14ac:dyDescent="0.25">
      <c r="A149" s="2">
        <f t="shared" si="26"/>
        <v>31.77</v>
      </c>
      <c r="B149" s="6">
        <f t="shared" si="20"/>
        <v>0</v>
      </c>
      <c r="C149" s="2">
        <f t="shared" si="21"/>
        <v>15.885</v>
      </c>
      <c r="D149" s="6">
        <f t="shared" si="22"/>
        <v>0</v>
      </c>
      <c r="E149" s="2">
        <f t="shared" si="21"/>
        <v>7.9424999999999999</v>
      </c>
      <c r="F149" s="6">
        <f t="shared" si="23"/>
        <v>0</v>
      </c>
      <c r="G149" s="2">
        <f t="shared" si="27"/>
        <v>3.9712499999999999</v>
      </c>
      <c r="H149" s="6">
        <f t="shared" si="24"/>
        <v>9.3999999999999997E-15</v>
      </c>
      <c r="I149" s="2">
        <f t="shared" si="21"/>
        <v>1.985625</v>
      </c>
      <c r="J149" s="6">
        <f t="shared" si="25"/>
        <v>5.4929538591000001E-6</v>
      </c>
    </row>
    <row r="150" spans="1:10" x14ac:dyDescent="0.25">
      <c r="A150" s="2">
        <f t="shared" si="26"/>
        <v>32.020000000000003</v>
      </c>
      <c r="B150" s="6">
        <f t="shared" si="20"/>
        <v>0</v>
      </c>
      <c r="C150" s="2">
        <f t="shared" si="21"/>
        <v>16.010000000000002</v>
      </c>
      <c r="D150" s="6">
        <f t="shared" si="22"/>
        <v>0</v>
      </c>
      <c r="E150" s="2">
        <f t="shared" si="21"/>
        <v>8.0050000000000008</v>
      </c>
      <c r="F150" s="6">
        <f t="shared" si="23"/>
        <v>0</v>
      </c>
      <c r="G150" s="2">
        <f t="shared" si="27"/>
        <v>4.0025000000000004</v>
      </c>
      <c r="H150" s="6">
        <f t="shared" si="24"/>
        <v>7.0000000000000001E-15</v>
      </c>
      <c r="I150" s="2">
        <f t="shared" si="21"/>
        <v>2.0012500000000002</v>
      </c>
      <c r="J150" s="6">
        <f t="shared" si="25"/>
        <v>4.6533701733999998E-6</v>
      </c>
    </row>
    <row r="151" spans="1:10" x14ac:dyDescent="0.25">
      <c r="A151" s="2">
        <f t="shared" si="26"/>
        <v>32.270000000000003</v>
      </c>
      <c r="B151" s="6">
        <f t="shared" si="20"/>
        <v>0</v>
      </c>
      <c r="C151" s="2">
        <f t="shared" si="21"/>
        <v>16.135000000000002</v>
      </c>
      <c r="D151" s="6">
        <f t="shared" si="22"/>
        <v>0</v>
      </c>
      <c r="E151" s="2">
        <f t="shared" si="21"/>
        <v>8.0675000000000008</v>
      </c>
      <c r="F151" s="6">
        <f t="shared" si="23"/>
        <v>0</v>
      </c>
      <c r="G151" s="2">
        <f t="shared" si="27"/>
        <v>4.0337500000000004</v>
      </c>
      <c r="H151" s="6">
        <f t="shared" si="24"/>
        <v>5.2000000000000001E-15</v>
      </c>
      <c r="I151" s="2">
        <f t="shared" si="21"/>
        <v>2.0168750000000002</v>
      </c>
      <c r="J151" s="6">
        <f t="shared" si="25"/>
        <v>3.9418165595999997E-6</v>
      </c>
    </row>
    <row r="152" spans="1:10" x14ac:dyDescent="0.25">
      <c r="A152" s="2">
        <f t="shared" si="26"/>
        <v>32.520000000000003</v>
      </c>
      <c r="B152" s="6">
        <f t="shared" si="20"/>
        <v>0</v>
      </c>
      <c r="C152" s="2">
        <f t="shared" si="21"/>
        <v>16.260000000000002</v>
      </c>
      <c r="D152" s="6">
        <f t="shared" si="22"/>
        <v>0</v>
      </c>
      <c r="E152" s="2">
        <f t="shared" si="21"/>
        <v>8.1300000000000008</v>
      </c>
      <c r="F152" s="6">
        <f t="shared" si="23"/>
        <v>0</v>
      </c>
      <c r="G152" s="2">
        <f t="shared" si="27"/>
        <v>4.0650000000000004</v>
      </c>
      <c r="H152" s="6">
        <f t="shared" si="24"/>
        <v>3.9000000000000003E-15</v>
      </c>
      <c r="I152" s="2">
        <f t="shared" si="21"/>
        <v>2.0325000000000002</v>
      </c>
      <c r="J152" s="6">
        <f t="shared" si="25"/>
        <v>3.3388470147999999E-6</v>
      </c>
    </row>
    <row r="153" spans="1:10" x14ac:dyDescent="0.25">
      <c r="A153" s="2">
        <f t="shared" si="26"/>
        <v>32.770000000000003</v>
      </c>
      <c r="B153" s="6">
        <f t="shared" si="20"/>
        <v>0</v>
      </c>
      <c r="C153" s="2">
        <f t="shared" si="21"/>
        <v>16.385000000000002</v>
      </c>
      <c r="D153" s="6">
        <f t="shared" si="22"/>
        <v>0</v>
      </c>
      <c r="E153" s="2">
        <f t="shared" si="21"/>
        <v>8.1925000000000008</v>
      </c>
      <c r="F153" s="6">
        <f t="shared" si="23"/>
        <v>0</v>
      </c>
      <c r="G153" s="2">
        <f t="shared" si="27"/>
        <v>4.0962500000000004</v>
      </c>
      <c r="H153" s="6">
        <f t="shared" si="24"/>
        <v>2.9000000000000002E-15</v>
      </c>
      <c r="I153" s="2">
        <f t="shared" si="21"/>
        <v>2.0481250000000002</v>
      </c>
      <c r="J153" s="6">
        <f t="shared" si="25"/>
        <v>2.8279514697000002E-6</v>
      </c>
    </row>
    <row r="154" spans="1:10" x14ac:dyDescent="0.25">
      <c r="A154" s="2">
        <f t="shared" si="26"/>
        <v>33.020000000000003</v>
      </c>
      <c r="B154" s="6">
        <f t="shared" si="20"/>
        <v>0</v>
      </c>
      <c r="C154" s="2">
        <f t="shared" si="21"/>
        <v>16.510000000000002</v>
      </c>
      <c r="D154" s="6">
        <f t="shared" si="22"/>
        <v>0</v>
      </c>
      <c r="E154" s="2">
        <f t="shared" si="21"/>
        <v>8.2550000000000008</v>
      </c>
      <c r="F154" s="6">
        <f t="shared" si="23"/>
        <v>0</v>
      </c>
      <c r="G154" s="2">
        <f t="shared" si="27"/>
        <v>4.1275000000000004</v>
      </c>
      <c r="H154" s="6">
        <f t="shared" si="24"/>
        <v>2.1999999999999999E-15</v>
      </c>
      <c r="I154" s="2">
        <f t="shared" si="21"/>
        <v>2.0637500000000002</v>
      </c>
      <c r="J154" s="6">
        <f t="shared" si="25"/>
        <v>2.3951162707999998E-6</v>
      </c>
    </row>
    <row r="155" spans="1:10" x14ac:dyDescent="0.25">
      <c r="A155" s="2">
        <f t="shared" si="26"/>
        <v>33.270000000000003</v>
      </c>
      <c r="B155" s="6">
        <f t="shared" si="20"/>
        <v>0</v>
      </c>
      <c r="C155" s="2">
        <f t="shared" si="21"/>
        <v>16.635000000000002</v>
      </c>
      <c r="D155" s="6">
        <f t="shared" si="22"/>
        <v>0</v>
      </c>
      <c r="E155" s="2">
        <f t="shared" si="21"/>
        <v>8.3175000000000008</v>
      </c>
      <c r="F155" s="6">
        <f t="shared" si="23"/>
        <v>0</v>
      </c>
      <c r="G155" s="2">
        <f t="shared" si="27"/>
        <v>4.1587500000000004</v>
      </c>
      <c r="H155" s="6">
        <f t="shared" si="24"/>
        <v>1.6E-15</v>
      </c>
      <c r="I155" s="2">
        <f t="shared" si="21"/>
        <v>2.0793750000000002</v>
      </c>
      <c r="J155" s="6">
        <f t="shared" si="25"/>
        <v>2.0284496964999999E-6</v>
      </c>
    </row>
    <row r="156" spans="1:10" x14ac:dyDescent="0.25">
      <c r="A156" s="2">
        <f t="shared" si="26"/>
        <v>33.520000000000003</v>
      </c>
      <c r="B156" s="6">
        <f t="shared" si="20"/>
        <v>0</v>
      </c>
      <c r="C156" s="2">
        <f t="shared" si="21"/>
        <v>16.760000000000002</v>
      </c>
      <c r="D156" s="6">
        <f t="shared" si="22"/>
        <v>0</v>
      </c>
      <c r="E156" s="2">
        <f t="shared" si="21"/>
        <v>8.3800000000000008</v>
      </c>
      <c r="F156" s="6">
        <f t="shared" si="23"/>
        <v>0</v>
      </c>
      <c r="G156" s="2">
        <f t="shared" si="27"/>
        <v>4.1900000000000004</v>
      </c>
      <c r="H156" s="6">
        <f t="shared" si="24"/>
        <v>1.2E-15</v>
      </c>
      <c r="I156" s="2">
        <f t="shared" si="21"/>
        <v>2.0950000000000002</v>
      </c>
      <c r="J156" s="6">
        <f t="shared" si="25"/>
        <v>1.7178630356E-6</v>
      </c>
    </row>
    <row r="157" spans="1:10" x14ac:dyDescent="0.25">
      <c r="A157" s="2">
        <f t="shared" si="26"/>
        <v>33.770000000000003</v>
      </c>
      <c r="B157" s="6">
        <f t="shared" si="20"/>
        <v>0</v>
      </c>
      <c r="C157" s="2">
        <f t="shared" si="21"/>
        <v>16.885000000000002</v>
      </c>
      <c r="D157" s="6">
        <f t="shared" si="22"/>
        <v>0</v>
      </c>
      <c r="E157" s="2">
        <f t="shared" si="21"/>
        <v>8.4425000000000008</v>
      </c>
      <c r="F157" s="6">
        <f t="shared" si="23"/>
        <v>0</v>
      </c>
      <c r="G157" s="2">
        <f t="shared" si="27"/>
        <v>4.2212500000000004</v>
      </c>
      <c r="H157" s="6">
        <f t="shared" si="24"/>
        <v>9.0000000000000003E-16</v>
      </c>
      <c r="I157" s="2">
        <f t="shared" si="21"/>
        <v>2.1106250000000002</v>
      </c>
      <c r="J157" s="6">
        <f t="shared" si="25"/>
        <v>1.4547991067000001E-6</v>
      </c>
    </row>
    <row r="158" spans="1:10" x14ac:dyDescent="0.25">
      <c r="A158" s="2">
        <f t="shared" si="26"/>
        <v>34.020000000000003</v>
      </c>
      <c r="B158" s="6">
        <f t="shared" si="20"/>
        <v>0</v>
      </c>
      <c r="C158" s="2">
        <f t="shared" si="21"/>
        <v>17.010000000000002</v>
      </c>
      <c r="D158" s="6">
        <f t="shared" si="22"/>
        <v>0</v>
      </c>
      <c r="E158" s="2">
        <f t="shared" si="21"/>
        <v>8.5050000000000008</v>
      </c>
      <c r="F158" s="6">
        <f t="shared" si="23"/>
        <v>0</v>
      </c>
      <c r="G158" s="2">
        <f t="shared" si="27"/>
        <v>4.2525000000000004</v>
      </c>
      <c r="H158" s="6">
        <f t="shared" si="24"/>
        <v>7.0000000000000003E-16</v>
      </c>
      <c r="I158" s="2">
        <f t="shared" si="21"/>
        <v>2.1262500000000002</v>
      </c>
      <c r="J158" s="6">
        <f t="shared" si="25"/>
        <v>1.2320012608000001E-6</v>
      </c>
    </row>
    <row r="159" spans="1:10" x14ac:dyDescent="0.25">
      <c r="A159" s="2">
        <f t="shared" si="26"/>
        <v>34.270000000000003</v>
      </c>
      <c r="B159" s="6">
        <f t="shared" si="20"/>
        <v>0</v>
      </c>
      <c r="C159" s="2">
        <f t="shared" si="21"/>
        <v>17.135000000000002</v>
      </c>
      <c r="D159" s="6">
        <f t="shared" si="22"/>
        <v>0</v>
      </c>
      <c r="E159" s="2">
        <f t="shared" si="21"/>
        <v>8.5675000000000008</v>
      </c>
      <c r="F159" s="6">
        <f t="shared" si="23"/>
        <v>0</v>
      </c>
      <c r="G159" s="2">
        <f t="shared" si="27"/>
        <v>4.2837500000000004</v>
      </c>
      <c r="H159" s="6">
        <f t="shared" si="24"/>
        <v>5.0000000000000004E-16</v>
      </c>
      <c r="I159" s="2">
        <f t="shared" si="21"/>
        <v>2.1418750000000002</v>
      </c>
      <c r="J159" s="6">
        <f t="shared" si="25"/>
        <v>1.043316908E-6</v>
      </c>
    </row>
    <row r="160" spans="1:10" x14ac:dyDescent="0.25">
      <c r="A160" s="2">
        <f t="shared" si="26"/>
        <v>34.520000000000003</v>
      </c>
      <c r="B160" s="6">
        <f t="shared" si="20"/>
        <v>0</v>
      </c>
      <c r="C160" s="2">
        <f t="shared" si="21"/>
        <v>17.260000000000002</v>
      </c>
      <c r="D160" s="6">
        <f t="shared" si="22"/>
        <v>0</v>
      </c>
      <c r="E160" s="2">
        <f t="shared" si="21"/>
        <v>8.6300000000000008</v>
      </c>
      <c r="F160" s="6">
        <f t="shared" si="23"/>
        <v>0</v>
      </c>
      <c r="G160" s="2">
        <f t="shared" si="27"/>
        <v>4.3150000000000004</v>
      </c>
      <c r="H160" s="6">
        <f t="shared" si="24"/>
        <v>3.9999999999999999E-16</v>
      </c>
      <c r="I160" s="2">
        <f t="shared" si="21"/>
        <v>2.1575000000000002</v>
      </c>
      <c r="J160" s="6">
        <f t="shared" si="25"/>
        <v>8.8353047539999998E-7</v>
      </c>
    </row>
    <row r="161" spans="1:10" x14ac:dyDescent="0.25">
      <c r="A161" s="2">
        <f t="shared" si="26"/>
        <v>34.770000000000003</v>
      </c>
      <c r="B161" s="6">
        <f t="shared" si="20"/>
        <v>0</v>
      </c>
      <c r="C161" s="2">
        <f t="shared" si="21"/>
        <v>17.385000000000002</v>
      </c>
      <c r="D161" s="6">
        <f t="shared" si="22"/>
        <v>0</v>
      </c>
      <c r="E161" s="2">
        <f t="shared" si="21"/>
        <v>8.6925000000000008</v>
      </c>
      <c r="F161" s="6">
        <f t="shared" si="23"/>
        <v>0</v>
      </c>
      <c r="G161" s="2">
        <f t="shared" si="27"/>
        <v>4.3462500000000004</v>
      </c>
      <c r="H161" s="6">
        <f t="shared" si="24"/>
        <v>2.9999999999999999E-16</v>
      </c>
      <c r="I161" s="2">
        <f t="shared" si="21"/>
        <v>2.1731250000000002</v>
      </c>
      <c r="J161" s="6">
        <f t="shared" si="25"/>
        <v>7.4822143600000003E-7</v>
      </c>
    </row>
    <row r="162" spans="1:10" x14ac:dyDescent="0.25">
      <c r="A162" s="2">
        <f t="shared" si="26"/>
        <v>35.020000000000003</v>
      </c>
      <c r="B162" s="6">
        <f t="shared" si="20"/>
        <v>0</v>
      </c>
      <c r="C162" s="2">
        <f t="shared" si="21"/>
        <v>17.510000000000002</v>
      </c>
      <c r="D162" s="6">
        <f t="shared" si="22"/>
        <v>0</v>
      </c>
      <c r="E162" s="2">
        <f t="shared" si="21"/>
        <v>8.7550000000000008</v>
      </c>
      <c r="F162" s="6">
        <f t="shared" si="23"/>
        <v>0</v>
      </c>
      <c r="G162" s="2">
        <f t="shared" si="27"/>
        <v>4.3775000000000004</v>
      </c>
      <c r="H162" s="6">
        <f t="shared" si="24"/>
        <v>2E-16</v>
      </c>
      <c r="I162" s="2">
        <f t="shared" si="21"/>
        <v>2.1887500000000002</v>
      </c>
      <c r="J162" s="6">
        <f t="shared" si="25"/>
        <v>6.3364368900000004E-7</v>
      </c>
    </row>
    <row r="163" spans="1:10" x14ac:dyDescent="0.25">
      <c r="A163" s="2">
        <f t="shared" si="26"/>
        <v>35.270000000000003</v>
      </c>
      <c r="B163" s="6">
        <f t="shared" si="20"/>
        <v>0</v>
      </c>
      <c r="C163" s="2">
        <f t="shared" si="21"/>
        <v>17.635000000000002</v>
      </c>
      <c r="D163" s="6">
        <f t="shared" si="22"/>
        <v>0</v>
      </c>
      <c r="E163" s="2">
        <f t="shared" si="21"/>
        <v>8.8175000000000008</v>
      </c>
      <c r="F163" s="6">
        <f t="shared" si="23"/>
        <v>0</v>
      </c>
      <c r="G163" s="2">
        <f t="shared" si="27"/>
        <v>4.4087500000000004</v>
      </c>
      <c r="H163" s="6">
        <f t="shared" si="24"/>
        <v>2E-16</v>
      </c>
      <c r="I163" s="2">
        <f t="shared" si="21"/>
        <v>2.2043750000000002</v>
      </c>
      <c r="J163" s="6">
        <f t="shared" si="25"/>
        <v>5.3662311280000002E-7</v>
      </c>
    </row>
    <row r="164" spans="1:10" x14ac:dyDescent="0.25">
      <c r="A164" s="2">
        <f t="shared" si="26"/>
        <v>35.520000000000003</v>
      </c>
      <c r="B164" s="6">
        <f t="shared" si="20"/>
        <v>0</v>
      </c>
      <c r="C164" s="2">
        <f t="shared" si="21"/>
        <v>17.760000000000002</v>
      </c>
      <c r="D164" s="6">
        <f t="shared" si="22"/>
        <v>0</v>
      </c>
      <c r="E164" s="2">
        <f t="shared" si="21"/>
        <v>8.8800000000000008</v>
      </c>
      <c r="F164" s="6">
        <f t="shared" si="23"/>
        <v>0</v>
      </c>
      <c r="G164" s="2">
        <f t="shared" si="27"/>
        <v>4.4400000000000004</v>
      </c>
      <c r="H164" s="6">
        <f t="shared" si="24"/>
        <v>9.9999999999999998E-17</v>
      </c>
      <c r="I164" s="2">
        <f t="shared" si="21"/>
        <v>2.2200000000000002</v>
      </c>
      <c r="J164" s="6">
        <f t="shared" si="25"/>
        <v>4.5447057960000003E-7</v>
      </c>
    </row>
    <row r="165" spans="1:10" x14ac:dyDescent="0.25">
      <c r="A165" s="2">
        <f t="shared" si="26"/>
        <v>35.770000000000003</v>
      </c>
      <c r="B165" s="6">
        <f t="shared" si="20"/>
        <v>0</v>
      </c>
      <c r="C165" s="2">
        <f t="shared" si="21"/>
        <v>17.885000000000002</v>
      </c>
      <c r="D165" s="6">
        <f t="shared" si="22"/>
        <v>0</v>
      </c>
      <c r="E165" s="2">
        <f t="shared" si="21"/>
        <v>8.9425000000000008</v>
      </c>
      <c r="F165" s="6">
        <f t="shared" si="23"/>
        <v>0</v>
      </c>
      <c r="G165" s="2">
        <f t="shared" si="27"/>
        <v>4.4712500000000004</v>
      </c>
      <c r="H165" s="6">
        <f t="shared" si="24"/>
        <v>9.9999999999999998E-17</v>
      </c>
      <c r="I165" s="2">
        <f t="shared" si="21"/>
        <v>2.2356250000000002</v>
      </c>
      <c r="J165" s="6">
        <f t="shared" si="25"/>
        <v>3.8490811890000001E-7</v>
      </c>
    </row>
    <row r="166" spans="1:10" x14ac:dyDescent="0.25">
      <c r="A166" s="2">
        <f t="shared" si="26"/>
        <v>36.020000000000003</v>
      </c>
      <c r="B166" s="6">
        <f t="shared" si="20"/>
        <v>0</v>
      </c>
      <c r="C166" s="2">
        <f t="shared" si="21"/>
        <v>18.010000000000002</v>
      </c>
      <c r="D166" s="6">
        <f t="shared" si="22"/>
        <v>0</v>
      </c>
      <c r="E166" s="2">
        <f t="shared" si="21"/>
        <v>9.0050000000000008</v>
      </c>
      <c r="F166" s="6">
        <f t="shared" si="23"/>
        <v>0</v>
      </c>
      <c r="G166" s="2">
        <f t="shared" si="27"/>
        <v>4.5025000000000004</v>
      </c>
      <c r="H166" s="6">
        <f t="shared" si="24"/>
        <v>9.9999999999999998E-17</v>
      </c>
      <c r="I166" s="2">
        <f t="shared" si="21"/>
        <v>2.2512500000000002</v>
      </c>
      <c r="J166" s="6">
        <f t="shared" si="25"/>
        <v>3.2600625999999998E-7</v>
      </c>
    </row>
    <row r="167" spans="1:10" x14ac:dyDescent="0.25">
      <c r="A167" s="2">
        <f t="shared" si="26"/>
        <v>36.270000000000003</v>
      </c>
      <c r="B167" s="6">
        <f t="shared" si="20"/>
        <v>0</v>
      </c>
      <c r="C167" s="2">
        <f t="shared" si="21"/>
        <v>18.135000000000002</v>
      </c>
      <c r="D167" s="6">
        <f t="shared" si="22"/>
        <v>0</v>
      </c>
      <c r="E167" s="2">
        <f t="shared" si="21"/>
        <v>9.0675000000000008</v>
      </c>
      <c r="F167" s="6">
        <f t="shared" si="23"/>
        <v>0</v>
      </c>
      <c r="G167" s="2">
        <f t="shared" si="27"/>
        <v>4.5337500000000004</v>
      </c>
      <c r="H167" s="6">
        <f t="shared" si="24"/>
        <v>9.9999999999999998E-17</v>
      </c>
      <c r="I167" s="2">
        <f t="shared" si="21"/>
        <v>2.2668750000000002</v>
      </c>
      <c r="J167" s="6">
        <f t="shared" si="25"/>
        <v>2.761308734E-7</v>
      </c>
    </row>
    <row r="168" spans="1:10" x14ac:dyDescent="0.25">
      <c r="A168" s="2">
        <f t="shared" si="26"/>
        <v>36.520000000000003</v>
      </c>
      <c r="B168" s="6">
        <f t="shared" si="20"/>
        <v>0</v>
      </c>
      <c r="C168" s="2">
        <f t="shared" si="21"/>
        <v>18.260000000000002</v>
      </c>
      <c r="D168" s="6">
        <f t="shared" si="22"/>
        <v>0</v>
      </c>
      <c r="E168" s="2">
        <f t="shared" si="21"/>
        <v>9.1300000000000008</v>
      </c>
      <c r="F168" s="6">
        <f t="shared" si="23"/>
        <v>0</v>
      </c>
      <c r="G168" s="2">
        <f t="shared" si="27"/>
        <v>4.5650000000000004</v>
      </c>
      <c r="H168" s="6">
        <f t="shared" si="24"/>
        <v>0</v>
      </c>
      <c r="I168" s="2">
        <f t="shared" si="21"/>
        <v>2.2825000000000002</v>
      </c>
      <c r="J168" s="6">
        <f t="shared" si="25"/>
        <v>2.3389808240000001E-7</v>
      </c>
    </row>
    <row r="169" spans="1:10" x14ac:dyDescent="0.25">
      <c r="A169" s="2">
        <f t="shared" si="26"/>
        <v>36.770000000000003</v>
      </c>
      <c r="B169" s="6">
        <f t="shared" si="20"/>
        <v>0</v>
      </c>
      <c r="C169" s="2">
        <f t="shared" si="21"/>
        <v>18.385000000000002</v>
      </c>
      <c r="D169" s="6">
        <f t="shared" si="22"/>
        <v>0</v>
      </c>
      <c r="E169" s="2">
        <f t="shared" si="21"/>
        <v>9.1925000000000008</v>
      </c>
      <c r="F169" s="6">
        <f t="shared" si="23"/>
        <v>0</v>
      </c>
      <c r="G169" s="2">
        <f t="shared" si="27"/>
        <v>4.5962500000000004</v>
      </c>
      <c r="H169" s="6">
        <f t="shared" si="24"/>
        <v>0</v>
      </c>
      <c r="I169" s="2">
        <f t="shared" si="21"/>
        <v>2.2981250000000002</v>
      </c>
      <c r="J169" s="6">
        <f t="shared" si="25"/>
        <v>1.9813602859999999E-7</v>
      </c>
    </row>
    <row r="170" spans="1:10" x14ac:dyDescent="0.25">
      <c r="A170" s="2">
        <f t="shared" si="26"/>
        <v>37.020000000000003</v>
      </c>
      <c r="B170" s="6">
        <f t="shared" si="20"/>
        <v>0</v>
      </c>
      <c r="C170" s="2">
        <f t="shared" si="21"/>
        <v>18.510000000000002</v>
      </c>
      <c r="D170" s="6">
        <f t="shared" si="22"/>
        <v>0</v>
      </c>
      <c r="E170" s="2">
        <f t="shared" si="21"/>
        <v>9.2550000000000008</v>
      </c>
      <c r="F170" s="6">
        <f t="shared" si="23"/>
        <v>0</v>
      </c>
      <c r="G170" s="2">
        <f t="shared" si="27"/>
        <v>4.6275000000000004</v>
      </c>
      <c r="H170" s="6">
        <f t="shared" si="24"/>
        <v>0</v>
      </c>
      <c r="I170" s="2">
        <f t="shared" si="21"/>
        <v>2.3137500000000002</v>
      </c>
      <c r="J170" s="6">
        <f t="shared" si="25"/>
        <v>1.6785245520000001E-7</v>
      </c>
    </row>
    <row r="171" spans="1:10" x14ac:dyDescent="0.25">
      <c r="A171" s="2">
        <f t="shared" si="26"/>
        <v>37.270000000000003</v>
      </c>
      <c r="B171" s="6">
        <f t="shared" si="20"/>
        <v>0</v>
      </c>
      <c r="C171" s="2">
        <f t="shared" si="21"/>
        <v>18.635000000000002</v>
      </c>
      <c r="D171" s="6">
        <f t="shared" si="22"/>
        <v>0</v>
      </c>
      <c r="E171" s="2">
        <f t="shared" si="21"/>
        <v>9.3175000000000008</v>
      </c>
      <c r="F171" s="6">
        <f t="shared" si="23"/>
        <v>0</v>
      </c>
      <c r="G171" s="2">
        <f t="shared" si="27"/>
        <v>4.6587500000000004</v>
      </c>
      <c r="H171" s="6">
        <f t="shared" si="24"/>
        <v>0</v>
      </c>
      <c r="I171" s="2">
        <f t="shared" si="21"/>
        <v>2.3293750000000002</v>
      </c>
      <c r="J171" s="6">
        <f t="shared" si="25"/>
        <v>1.4220722939999999E-7</v>
      </c>
    </row>
    <row r="172" spans="1:10" x14ac:dyDescent="0.25">
      <c r="A172" s="2">
        <f t="shared" si="26"/>
        <v>37.520000000000003</v>
      </c>
      <c r="B172" s="6">
        <f t="shared" si="20"/>
        <v>0</v>
      </c>
      <c r="C172" s="2">
        <f t="shared" si="21"/>
        <v>18.760000000000002</v>
      </c>
      <c r="D172" s="6">
        <f t="shared" si="22"/>
        <v>0</v>
      </c>
      <c r="E172" s="2">
        <f t="shared" si="21"/>
        <v>9.3800000000000008</v>
      </c>
      <c r="F172" s="6">
        <f t="shared" si="23"/>
        <v>0</v>
      </c>
      <c r="G172" s="2">
        <f t="shared" si="27"/>
        <v>4.6900000000000004</v>
      </c>
      <c r="H172" s="6">
        <f t="shared" si="24"/>
        <v>0</v>
      </c>
      <c r="I172" s="2">
        <f t="shared" si="21"/>
        <v>2.3450000000000002</v>
      </c>
      <c r="J172" s="6">
        <f t="shared" si="25"/>
        <v>1.2048905369999999E-7</v>
      </c>
    </row>
    <row r="173" spans="1:10" x14ac:dyDescent="0.25">
      <c r="A173" s="2">
        <f t="shared" si="26"/>
        <v>37.770000000000003</v>
      </c>
      <c r="B173" s="6">
        <f t="shared" si="20"/>
        <v>0</v>
      </c>
      <c r="C173" s="2">
        <f t="shared" si="21"/>
        <v>18.885000000000002</v>
      </c>
      <c r="D173" s="6">
        <f t="shared" si="22"/>
        <v>0</v>
      </c>
      <c r="E173" s="2">
        <f t="shared" si="21"/>
        <v>9.4425000000000008</v>
      </c>
      <c r="F173" s="6">
        <f t="shared" si="23"/>
        <v>0</v>
      </c>
      <c r="G173" s="2">
        <f t="shared" si="27"/>
        <v>4.7212500000000004</v>
      </c>
      <c r="H173" s="6">
        <f t="shared" si="24"/>
        <v>0</v>
      </c>
      <c r="I173" s="2">
        <f t="shared" si="21"/>
        <v>2.3606250000000002</v>
      </c>
      <c r="J173" s="6">
        <f t="shared" si="25"/>
        <v>1.020957333E-7</v>
      </c>
    </row>
    <row r="174" spans="1:10" x14ac:dyDescent="0.25">
      <c r="A174" s="2">
        <f t="shared" si="26"/>
        <v>38.020000000000003</v>
      </c>
      <c r="B174" s="6">
        <f t="shared" si="20"/>
        <v>0</v>
      </c>
      <c r="C174" s="2">
        <f t="shared" si="21"/>
        <v>19.010000000000002</v>
      </c>
      <c r="D174" s="6">
        <f t="shared" si="22"/>
        <v>0</v>
      </c>
      <c r="E174" s="2">
        <f t="shared" si="21"/>
        <v>9.5050000000000008</v>
      </c>
      <c r="F174" s="6">
        <f t="shared" si="23"/>
        <v>0</v>
      </c>
      <c r="G174" s="2">
        <f t="shared" si="27"/>
        <v>4.7525000000000004</v>
      </c>
      <c r="H174" s="6">
        <f t="shared" si="24"/>
        <v>0</v>
      </c>
      <c r="I174" s="2">
        <f t="shared" si="21"/>
        <v>2.3762500000000002</v>
      </c>
      <c r="J174" s="6">
        <f t="shared" si="25"/>
        <v>8.6517456800000006E-8</v>
      </c>
    </row>
    <row r="175" spans="1:10" x14ac:dyDescent="0.25">
      <c r="A175" s="2">
        <f t="shared" si="26"/>
        <v>38.270000000000003</v>
      </c>
      <c r="B175" s="6">
        <f t="shared" si="20"/>
        <v>0</v>
      </c>
      <c r="C175" s="2">
        <f t="shared" si="21"/>
        <v>19.135000000000002</v>
      </c>
      <c r="D175" s="6">
        <f t="shared" si="22"/>
        <v>0</v>
      </c>
      <c r="E175" s="2">
        <f t="shared" si="21"/>
        <v>9.5675000000000008</v>
      </c>
      <c r="F175" s="6">
        <f t="shared" si="23"/>
        <v>0</v>
      </c>
      <c r="G175" s="2">
        <f t="shared" si="27"/>
        <v>4.7837500000000004</v>
      </c>
      <c r="H175" s="6">
        <f t="shared" si="24"/>
        <v>0</v>
      </c>
      <c r="I175" s="2">
        <f t="shared" si="21"/>
        <v>2.3918750000000002</v>
      </c>
      <c r="J175" s="6">
        <f t="shared" si="25"/>
        <v>7.3322633900000002E-8</v>
      </c>
    </row>
    <row r="176" spans="1:10" x14ac:dyDescent="0.25">
      <c r="A176" s="2">
        <f t="shared" si="26"/>
        <v>38.520000000000003</v>
      </c>
      <c r="B176" s="6">
        <f t="shared" si="20"/>
        <v>0</v>
      </c>
      <c r="C176" s="2">
        <f t="shared" si="21"/>
        <v>19.260000000000002</v>
      </c>
      <c r="D176" s="6">
        <f t="shared" si="22"/>
        <v>0</v>
      </c>
      <c r="E176" s="2">
        <f t="shared" si="21"/>
        <v>9.6300000000000008</v>
      </c>
      <c r="F176" s="6">
        <f t="shared" si="23"/>
        <v>0</v>
      </c>
      <c r="G176" s="2">
        <f t="shared" si="27"/>
        <v>4.8150000000000004</v>
      </c>
      <c r="H176" s="6">
        <f t="shared" si="24"/>
        <v>0</v>
      </c>
      <c r="I176" s="2">
        <f t="shared" si="21"/>
        <v>2.4075000000000002</v>
      </c>
      <c r="J176" s="6">
        <f t="shared" si="25"/>
        <v>6.2145898699999999E-8</v>
      </c>
    </row>
    <row r="177" spans="1:10" x14ac:dyDescent="0.25">
      <c r="A177" s="2">
        <f t="shared" si="26"/>
        <v>38.770000000000003</v>
      </c>
      <c r="B177" s="6">
        <f t="shared" si="20"/>
        <v>0</v>
      </c>
      <c r="C177" s="2">
        <f t="shared" si="21"/>
        <v>19.385000000000002</v>
      </c>
      <c r="D177" s="6">
        <f t="shared" si="22"/>
        <v>0</v>
      </c>
      <c r="E177" s="2">
        <f t="shared" si="21"/>
        <v>9.6925000000000008</v>
      </c>
      <c r="F177" s="6">
        <f t="shared" si="23"/>
        <v>0</v>
      </c>
      <c r="G177" s="2">
        <f t="shared" si="27"/>
        <v>4.8462500000000004</v>
      </c>
      <c r="H177" s="6">
        <f t="shared" si="24"/>
        <v>0</v>
      </c>
      <c r="I177" s="2">
        <f t="shared" si="21"/>
        <v>2.4231250000000002</v>
      </c>
      <c r="J177" s="6">
        <f t="shared" si="25"/>
        <v>5.2677950999999998E-8</v>
      </c>
    </row>
    <row r="178" spans="1:10" x14ac:dyDescent="0.25">
      <c r="A178" s="2">
        <f t="shared" si="26"/>
        <v>39.020000000000003</v>
      </c>
      <c r="B178" s="6">
        <f t="shared" si="20"/>
        <v>0</v>
      </c>
      <c r="C178" s="2">
        <f t="shared" si="21"/>
        <v>19.510000000000002</v>
      </c>
      <c r="D178" s="6">
        <f t="shared" si="22"/>
        <v>0</v>
      </c>
      <c r="E178" s="2">
        <f t="shared" si="21"/>
        <v>9.7550000000000008</v>
      </c>
      <c r="F178" s="6">
        <f t="shared" si="23"/>
        <v>0</v>
      </c>
      <c r="G178" s="2">
        <f t="shared" si="27"/>
        <v>4.8775000000000004</v>
      </c>
      <c r="H178" s="6">
        <f t="shared" si="24"/>
        <v>0</v>
      </c>
      <c r="I178" s="2">
        <f t="shared" si="21"/>
        <v>2.4387500000000002</v>
      </c>
      <c r="J178" s="6">
        <f t="shared" si="25"/>
        <v>4.4656952500000001E-8</v>
      </c>
    </row>
    <row r="179" spans="1:10" x14ac:dyDescent="0.25">
      <c r="A179" s="2">
        <f t="shared" si="26"/>
        <v>39.270000000000003</v>
      </c>
      <c r="B179" s="6">
        <f t="shared" si="20"/>
        <v>0</v>
      </c>
      <c r="C179" s="2">
        <f t="shared" si="21"/>
        <v>19.635000000000002</v>
      </c>
      <c r="D179" s="6">
        <f t="shared" si="22"/>
        <v>0</v>
      </c>
      <c r="E179" s="2">
        <f t="shared" si="21"/>
        <v>9.8175000000000008</v>
      </c>
      <c r="F179" s="6">
        <f t="shared" si="23"/>
        <v>0</v>
      </c>
      <c r="G179" s="2">
        <f t="shared" si="27"/>
        <v>4.9087500000000004</v>
      </c>
      <c r="H179" s="6">
        <f t="shared" si="24"/>
        <v>0</v>
      </c>
      <c r="I179" s="2">
        <f t="shared" si="21"/>
        <v>2.4543750000000002</v>
      </c>
      <c r="J179" s="6">
        <f t="shared" si="25"/>
        <v>3.7861242599999999E-8</v>
      </c>
    </row>
    <row r="180" spans="1:10" x14ac:dyDescent="0.25">
      <c r="A180" s="2">
        <f t="shared" si="26"/>
        <v>39.520000000000003</v>
      </c>
      <c r="B180" s="6">
        <f t="shared" si="20"/>
        <v>0</v>
      </c>
      <c r="C180" s="2">
        <f t="shared" si="21"/>
        <v>19.760000000000002</v>
      </c>
      <c r="D180" s="6">
        <f t="shared" si="22"/>
        <v>0</v>
      </c>
      <c r="E180" s="2">
        <f t="shared" si="21"/>
        <v>9.8800000000000008</v>
      </c>
      <c r="F180" s="6">
        <f t="shared" si="23"/>
        <v>0</v>
      </c>
      <c r="G180" s="2">
        <f t="shared" si="27"/>
        <v>4.9400000000000004</v>
      </c>
      <c r="H180" s="6">
        <f t="shared" si="24"/>
        <v>0</v>
      </c>
      <c r="I180" s="2">
        <f t="shared" si="21"/>
        <v>2.4700000000000002</v>
      </c>
      <c r="J180" s="6">
        <f t="shared" si="25"/>
        <v>3.2103170400000001E-8</v>
      </c>
    </row>
    <row r="181" spans="1:10" x14ac:dyDescent="0.25">
      <c r="A181" s="2">
        <f t="shared" si="26"/>
        <v>39.770000000000003</v>
      </c>
      <c r="B181" s="6">
        <f t="shared" si="20"/>
        <v>0</v>
      </c>
      <c r="C181" s="2">
        <f t="shared" si="21"/>
        <v>19.885000000000002</v>
      </c>
      <c r="D181" s="6">
        <f t="shared" si="22"/>
        <v>0</v>
      </c>
      <c r="E181" s="2">
        <f t="shared" si="21"/>
        <v>9.9425000000000008</v>
      </c>
      <c r="F181" s="6">
        <f t="shared" si="23"/>
        <v>0</v>
      </c>
      <c r="G181" s="2">
        <f t="shared" si="27"/>
        <v>4.9712500000000004</v>
      </c>
      <c r="H181" s="6">
        <f t="shared" si="24"/>
        <v>0</v>
      </c>
      <c r="I181" s="2">
        <f t="shared" si="21"/>
        <v>2.4856250000000002</v>
      </c>
      <c r="J181" s="6">
        <f t="shared" si="25"/>
        <v>2.72238735E-8</v>
      </c>
    </row>
    <row r="182" spans="1:10" x14ac:dyDescent="0.25">
      <c r="A182" s="2">
        <f t="shared" si="26"/>
        <v>40.020000000000003</v>
      </c>
      <c r="B182" s="6">
        <f t="shared" si="20"/>
        <v>0</v>
      </c>
      <c r="C182" s="2">
        <f t="shared" si="21"/>
        <v>20.010000000000002</v>
      </c>
      <c r="D182" s="6">
        <f t="shared" si="22"/>
        <v>0</v>
      </c>
      <c r="E182" s="2">
        <f t="shared" si="21"/>
        <v>10.005000000000001</v>
      </c>
      <c r="F182" s="6">
        <f t="shared" si="23"/>
        <v>0</v>
      </c>
      <c r="G182" s="2">
        <f t="shared" si="27"/>
        <v>5.0025000000000004</v>
      </c>
      <c r="H182" s="6">
        <f t="shared" si="24"/>
        <v>0</v>
      </c>
      <c r="I182" s="2">
        <f t="shared" si="21"/>
        <v>2.5012500000000002</v>
      </c>
      <c r="J182" s="6">
        <f t="shared" si="25"/>
        <v>2.30888576E-8</v>
      </c>
    </row>
    <row r="183" spans="1:10" x14ac:dyDescent="0.25">
      <c r="A183" s="2">
        <f t="shared" si="26"/>
        <v>40.270000000000003</v>
      </c>
      <c r="B183" s="6">
        <f t="shared" si="20"/>
        <v>0</v>
      </c>
      <c r="C183" s="2">
        <f t="shared" si="21"/>
        <v>20.135000000000002</v>
      </c>
      <c r="D183" s="6">
        <f t="shared" si="22"/>
        <v>0</v>
      </c>
      <c r="E183" s="2">
        <f t="shared" si="21"/>
        <v>10.067500000000001</v>
      </c>
      <c r="F183" s="6">
        <f t="shared" si="23"/>
        <v>0</v>
      </c>
      <c r="G183" s="2">
        <f t="shared" si="27"/>
        <v>5.0337500000000004</v>
      </c>
      <c r="H183" s="6">
        <f t="shared" si="24"/>
        <v>0</v>
      </c>
      <c r="I183" s="2">
        <f t="shared" si="21"/>
        <v>2.5168750000000002</v>
      </c>
      <c r="J183" s="6">
        <f t="shared" si="25"/>
        <v>1.9584255099999999E-8</v>
      </c>
    </row>
    <row r="184" spans="1:10" x14ac:dyDescent="0.25">
      <c r="A184" s="2">
        <f t="shared" si="26"/>
        <v>40.520000000000003</v>
      </c>
      <c r="B184" s="6">
        <f t="shared" si="20"/>
        <v>0</v>
      </c>
      <c r="C184" s="2">
        <f t="shared" si="21"/>
        <v>20.260000000000002</v>
      </c>
      <c r="D184" s="6">
        <f t="shared" si="22"/>
        <v>0</v>
      </c>
      <c r="E184" s="2">
        <f t="shared" si="21"/>
        <v>10.130000000000001</v>
      </c>
      <c r="F184" s="6">
        <f t="shared" si="23"/>
        <v>0</v>
      </c>
      <c r="G184" s="2">
        <f t="shared" si="27"/>
        <v>5.0650000000000004</v>
      </c>
      <c r="H184" s="6">
        <f t="shared" si="24"/>
        <v>0</v>
      </c>
      <c r="I184" s="2">
        <f t="shared" si="21"/>
        <v>2.5325000000000002</v>
      </c>
      <c r="J184" s="6">
        <f t="shared" si="25"/>
        <v>1.6613657399999999E-8</v>
      </c>
    </row>
    <row r="185" spans="1:10" x14ac:dyDescent="0.25">
      <c r="A185" s="2">
        <f t="shared" si="26"/>
        <v>40.770000000000003</v>
      </c>
      <c r="B185" s="6">
        <f t="shared" si="20"/>
        <v>0</v>
      </c>
      <c r="C185" s="2">
        <f t="shared" si="21"/>
        <v>20.385000000000002</v>
      </c>
      <c r="D185" s="6">
        <f t="shared" si="22"/>
        <v>0</v>
      </c>
      <c r="E185" s="2">
        <f t="shared" si="21"/>
        <v>10.192500000000001</v>
      </c>
      <c r="F185" s="6">
        <f t="shared" si="23"/>
        <v>0</v>
      </c>
      <c r="G185" s="2">
        <f t="shared" si="27"/>
        <v>5.0962500000000004</v>
      </c>
      <c r="H185" s="6">
        <f t="shared" si="24"/>
        <v>0</v>
      </c>
      <c r="I185" s="2">
        <f t="shared" si="21"/>
        <v>2.5481250000000002</v>
      </c>
      <c r="J185" s="6">
        <f t="shared" si="25"/>
        <v>1.4095434799999999E-8</v>
      </c>
    </row>
    <row r="186" spans="1:10" x14ac:dyDescent="0.25">
      <c r="A186" s="2">
        <f t="shared" si="26"/>
        <v>41.02</v>
      </c>
      <c r="B186" s="6">
        <f t="shared" si="20"/>
        <v>0</v>
      </c>
      <c r="C186" s="2">
        <f t="shared" si="21"/>
        <v>20.51</v>
      </c>
      <c r="D186" s="6">
        <f t="shared" si="22"/>
        <v>0</v>
      </c>
      <c r="E186" s="2">
        <f t="shared" si="21"/>
        <v>10.255000000000001</v>
      </c>
      <c r="F186" s="6">
        <f t="shared" si="23"/>
        <v>0</v>
      </c>
      <c r="G186" s="2">
        <f t="shared" si="27"/>
        <v>5.1275000000000004</v>
      </c>
      <c r="H186" s="6">
        <f t="shared" si="24"/>
        <v>0</v>
      </c>
      <c r="I186" s="2">
        <f t="shared" si="21"/>
        <v>2.5637500000000002</v>
      </c>
      <c r="J186" s="6">
        <f t="shared" si="25"/>
        <v>1.1960467099999999E-8</v>
      </c>
    </row>
    <row r="187" spans="1:10" x14ac:dyDescent="0.25">
      <c r="A187" s="2">
        <f t="shared" si="26"/>
        <v>41.27</v>
      </c>
      <c r="B187" s="6">
        <f t="shared" si="20"/>
        <v>0</v>
      </c>
      <c r="C187" s="2">
        <f t="shared" si="21"/>
        <v>20.635000000000002</v>
      </c>
      <c r="D187" s="6">
        <f t="shared" si="22"/>
        <v>0</v>
      </c>
      <c r="E187" s="2">
        <f t="shared" si="21"/>
        <v>10.317500000000001</v>
      </c>
      <c r="F187" s="6">
        <f t="shared" si="23"/>
        <v>0</v>
      </c>
      <c r="G187" s="2">
        <f t="shared" si="27"/>
        <v>5.1587500000000004</v>
      </c>
      <c r="H187" s="6">
        <f t="shared" si="24"/>
        <v>0</v>
      </c>
      <c r="I187" s="2">
        <f t="shared" si="21"/>
        <v>2.5793750000000002</v>
      </c>
      <c r="J187" s="6">
        <f t="shared" si="25"/>
        <v>1.01502233E-8</v>
      </c>
    </row>
    <row r="188" spans="1:10" x14ac:dyDescent="0.25">
      <c r="A188" s="2">
        <f t="shared" si="26"/>
        <v>41.52</v>
      </c>
      <c r="B188" s="6">
        <f t="shared" si="20"/>
        <v>0</v>
      </c>
      <c r="C188" s="2">
        <f t="shared" si="21"/>
        <v>20.76</v>
      </c>
      <c r="D188" s="6">
        <f t="shared" si="22"/>
        <v>0</v>
      </c>
      <c r="E188" s="2">
        <f t="shared" si="21"/>
        <v>10.38</v>
      </c>
      <c r="F188" s="6">
        <f t="shared" si="23"/>
        <v>0</v>
      </c>
      <c r="G188" s="2">
        <f t="shared" si="27"/>
        <v>5.19</v>
      </c>
      <c r="H188" s="6">
        <f t="shared" si="24"/>
        <v>0</v>
      </c>
      <c r="I188" s="2">
        <f t="shared" si="21"/>
        <v>2.5950000000000002</v>
      </c>
      <c r="J188" s="6">
        <f t="shared" si="25"/>
        <v>8.6151365000000002E-9</v>
      </c>
    </row>
    <row r="189" spans="1:10" x14ac:dyDescent="0.25">
      <c r="A189" s="2">
        <f t="shared" si="26"/>
        <v>41.77</v>
      </c>
      <c r="B189" s="6">
        <f t="shared" si="20"/>
        <v>0</v>
      </c>
      <c r="C189" s="2">
        <f t="shared" si="21"/>
        <v>20.885000000000002</v>
      </c>
      <c r="D189" s="6">
        <f t="shared" si="22"/>
        <v>0</v>
      </c>
      <c r="E189" s="2">
        <f t="shared" si="21"/>
        <v>10.442500000000001</v>
      </c>
      <c r="F189" s="6">
        <f t="shared" si="23"/>
        <v>0</v>
      </c>
      <c r="G189" s="2">
        <f t="shared" si="27"/>
        <v>5.2212500000000004</v>
      </c>
      <c r="H189" s="6">
        <f t="shared" si="24"/>
        <v>0</v>
      </c>
      <c r="I189" s="2">
        <f t="shared" si="21"/>
        <v>2.6106250000000002</v>
      </c>
      <c r="J189" s="6">
        <f t="shared" si="25"/>
        <v>7.3132278999999997E-9</v>
      </c>
    </row>
    <row r="190" spans="1:10" x14ac:dyDescent="0.25">
      <c r="A190" s="2">
        <f t="shared" si="26"/>
        <v>42.02</v>
      </c>
      <c r="B190" s="6">
        <f t="shared" si="20"/>
        <v>0</v>
      </c>
      <c r="C190" s="2">
        <f t="shared" si="21"/>
        <v>21.01</v>
      </c>
      <c r="D190" s="6">
        <f t="shared" si="22"/>
        <v>0</v>
      </c>
      <c r="E190" s="2">
        <f t="shared" si="21"/>
        <v>10.505000000000001</v>
      </c>
      <c r="F190" s="6">
        <f t="shared" si="23"/>
        <v>0</v>
      </c>
      <c r="G190" s="2">
        <f t="shared" si="27"/>
        <v>5.2525000000000004</v>
      </c>
      <c r="H190" s="6">
        <f t="shared" si="24"/>
        <v>0</v>
      </c>
      <c r="I190" s="2">
        <f t="shared" si="21"/>
        <v>2.6262500000000002</v>
      </c>
      <c r="J190" s="6">
        <f t="shared" si="25"/>
        <v>6.2089428000000003E-9</v>
      </c>
    </row>
    <row r="191" spans="1:10" x14ac:dyDescent="0.25">
      <c r="A191" s="2">
        <f t="shared" si="26"/>
        <v>42.27</v>
      </c>
      <c r="B191" s="6">
        <f t="shared" si="20"/>
        <v>0</v>
      </c>
      <c r="C191" s="2">
        <f t="shared" si="21"/>
        <v>21.135000000000002</v>
      </c>
      <c r="D191" s="6">
        <f t="shared" si="22"/>
        <v>0</v>
      </c>
      <c r="E191" s="2">
        <f t="shared" si="21"/>
        <v>10.567500000000001</v>
      </c>
      <c r="F191" s="6">
        <f t="shared" si="23"/>
        <v>0</v>
      </c>
      <c r="G191" s="2">
        <f t="shared" si="27"/>
        <v>5.2837500000000004</v>
      </c>
      <c r="H191" s="6">
        <f t="shared" si="24"/>
        <v>0</v>
      </c>
      <c r="I191" s="2">
        <f t="shared" si="21"/>
        <v>2.6418750000000002</v>
      </c>
      <c r="J191" s="6">
        <f t="shared" si="25"/>
        <v>5.2721651999999997E-9</v>
      </c>
    </row>
    <row r="192" spans="1:10" x14ac:dyDescent="0.25">
      <c r="A192" s="2">
        <f t="shared" si="26"/>
        <v>42.52</v>
      </c>
      <c r="B192" s="6">
        <f t="shared" si="20"/>
        <v>0</v>
      </c>
      <c r="C192" s="2">
        <f t="shared" si="21"/>
        <v>21.26</v>
      </c>
      <c r="D192" s="6">
        <f t="shared" si="22"/>
        <v>0</v>
      </c>
      <c r="E192" s="2">
        <f t="shared" si="21"/>
        <v>10.63</v>
      </c>
      <c r="F192" s="6">
        <f t="shared" si="23"/>
        <v>0</v>
      </c>
      <c r="G192" s="2">
        <f t="shared" si="27"/>
        <v>5.3150000000000004</v>
      </c>
      <c r="H192" s="6">
        <f t="shared" si="24"/>
        <v>0</v>
      </c>
      <c r="I192" s="2">
        <f t="shared" si="21"/>
        <v>2.6575000000000002</v>
      </c>
      <c r="J192" s="6">
        <f t="shared" si="25"/>
        <v>4.4773836E-9</v>
      </c>
    </row>
    <row r="193" spans="1:10" x14ac:dyDescent="0.25">
      <c r="A193" s="2">
        <f t="shared" si="26"/>
        <v>42.77</v>
      </c>
      <c r="B193" s="6">
        <f t="shared" si="20"/>
        <v>0</v>
      </c>
      <c r="C193" s="2">
        <f t="shared" si="21"/>
        <v>21.385000000000002</v>
      </c>
      <c r="D193" s="6">
        <f t="shared" si="22"/>
        <v>0</v>
      </c>
      <c r="E193" s="2">
        <f t="shared" si="21"/>
        <v>10.692500000000001</v>
      </c>
      <c r="F193" s="6">
        <f t="shared" si="23"/>
        <v>0</v>
      </c>
      <c r="G193" s="2">
        <f t="shared" si="27"/>
        <v>5.3462500000000004</v>
      </c>
      <c r="H193" s="6">
        <f t="shared" si="24"/>
        <v>0</v>
      </c>
      <c r="I193" s="2">
        <f t="shared" si="21"/>
        <v>2.6731250000000002</v>
      </c>
      <c r="J193" s="6">
        <f t="shared" si="25"/>
        <v>3.8029853999999997E-9</v>
      </c>
    </row>
    <row r="194" spans="1:10" x14ac:dyDescent="0.25">
      <c r="A194" s="2">
        <f t="shared" si="26"/>
        <v>43.02</v>
      </c>
      <c r="B194" s="6">
        <f t="shared" si="20"/>
        <v>0</v>
      </c>
      <c r="C194" s="2">
        <f t="shared" si="21"/>
        <v>21.51</v>
      </c>
      <c r="D194" s="6">
        <f t="shared" si="22"/>
        <v>0</v>
      </c>
      <c r="E194" s="2">
        <f t="shared" si="21"/>
        <v>10.755000000000001</v>
      </c>
      <c r="F194" s="6">
        <f t="shared" si="23"/>
        <v>0</v>
      </c>
      <c r="G194" s="2">
        <f t="shared" si="27"/>
        <v>5.3775000000000004</v>
      </c>
      <c r="H194" s="6">
        <f t="shared" si="24"/>
        <v>0</v>
      </c>
      <c r="I194" s="2">
        <f t="shared" si="21"/>
        <v>2.6887500000000002</v>
      </c>
      <c r="J194" s="6">
        <f t="shared" si="25"/>
        <v>3.2306590999999998E-9</v>
      </c>
    </row>
    <row r="195" spans="1:10" x14ac:dyDescent="0.25">
      <c r="A195" s="2">
        <f t="shared" si="26"/>
        <v>43.27</v>
      </c>
      <c r="B195" s="6">
        <f t="shared" si="20"/>
        <v>0</v>
      </c>
      <c r="C195" s="2">
        <f t="shared" si="21"/>
        <v>21.635000000000002</v>
      </c>
      <c r="D195" s="6">
        <f t="shared" si="22"/>
        <v>0</v>
      </c>
      <c r="E195" s="2">
        <f t="shared" si="21"/>
        <v>10.817500000000001</v>
      </c>
      <c r="F195" s="6">
        <f t="shared" si="23"/>
        <v>0</v>
      </c>
      <c r="G195" s="2">
        <f t="shared" si="27"/>
        <v>5.4087500000000004</v>
      </c>
      <c r="H195" s="6">
        <f t="shared" si="24"/>
        <v>0</v>
      </c>
      <c r="I195" s="2">
        <f t="shared" si="21"/>
        <v>2.7043750000000002</v>
      </c>
      <c r="J195" s="6">
        <f t="shared" si="25"/>
        <v>2.7448890000000001E-9</v>
      </c>
    </row>
    <row r="196" spans="1:10" x14ac:dyDescent="0.25">
      <c r="A196" s="2">
        <f t="shared" si="26"/>
        <v>43.52</v>
      </c>
      <c r="B196" s="6">
        <f t="shared" si="20"/>
        <v>0</v>
      </c>
      <c r="C196" s="2">
        <f t="shared" si="21"/>
        <v>21.76</v>
      </c>
      <c r="D196" s="6">
        <f t="shared" si="22"/>
        <v>0</v>
      </c>
      <c r="E196" s="2">
        <f t="shared" si="21"/>
        <v>10.88</v>
      </c>
      <c r="F196" s="6">
        <f t="shared" si="23"/>
        <v>0</v>
      </c>
      <c r="G196" s="2">
        <f t="shared" si="27"/>
        <v>5.44</v>
      </c>
      <c r="H196" s="6">
        <f t="shared" si="24"/>
        <v>0</v>
      </c>
      <c r="I196" s="2">
        <f t="shared" si="21"/>
        <v>2.72</v>
      </c>
      <c r="J196" s="6">
        <f t="shared" si="25"/>
        <v>2.3325265000000001E-9</v>
      </c>
    </row>
    <row r="197" spans="1:10" x14ac:dyDescent="0.25">
      <c r="A197" s="2">
        <f t="shared" si="26"/>
        <v>43.77</v>
      </c>
      <c r="B197" s="6">
        <f t="shared" si="20"/>
        <v>0</v>
      </c>
      <c r="C197" s="2">
        <f t="shared" si="21"/>
        <v>21.885000000000002</v>
      </c>
      <c r="D197" s="6">
        <f t="shared" si="22"/>
        <v>0</v>
      </c>
      <c r="E197" s="2">
        <f t="shared" si="21"/>
        <v>10.942500000000001</v>
      </c>
      <c r="F197" s="6">
        <f t="shared" si="23"/>
        <v>0</v>
      </c>
      <c r="G197" s="2">
        <f t="shared" si="27"/>
        <v>5.4712500000000004</v>
      </c>
      <c r="H197" s="6">
        <f t="shared" si="24"/>
        <v>0</v>
      </c>
      <c r="I197" s="2">
        <f t="shared" si="21"/>
        <v>2.7356250000000002</v>
      </c>
      <c r="J197" s="6">
        <f t="shared" si="25"/>
        <v>1.9824286000000001E-9</v>
      </c>
    </row>
    <row r="198" spans="1:10" x14ac:dyDescent="0.25">
      <c r="A198" s="2">
        <f t="shared" si="26"/>
        <v>44.02</v>
      </c>
      <c r="B198" s="6">
        <f t="shared" si="20"/>
        <v>0</v>
      </c>
      <c r="C198" s="2">
        <f t="shared" si="21"/>
        <v>22.01</v>
      </c>
      <c r="D198" s="6">
        <f t="shared" si="22"/>
        <v>0</v>
      </c>
      <c r="E198" s="2">
        <f t="shared" si="21"/>
        <v>11.005000000000001</v>
      </c>
      <c r="F198" s="6">
        <f t="shared" si="23"/>
        <v>0</v>
      </c>
      <c r="G198" s="2">
        <f t="shared" si="27"/>
        <v>5.5025000000000004</v>
      </c>
      <c r="H198" s="6">
        <f t="shared" si="24"/>
        <v>0</v>
      </c>
      <c r="I198" s="2">
        <f t="shared" si="21"/>
        <v>2.7512500000000002</v>
      </c>
      <c r="J198" s="6">
        <f t="shared" si="25"/>
        <v>1.6851499999999999E-9</v>
      </c>
    </row>
    <row r="199" spans="1:10" x14ac:dyDescent="0.25">
      <c r="A199" s="2">
        <f t="shared" si="26"/>
        <v>44.27</v>
      </c>
      <c r="B199" s="6">
        <f t="shared" si="20"/>
        <v>0</v>
      </c>
      <c r="C199" s="2">
        <f t="shared" si="21"/>
        <v>22.135000000000002</v>
      </c>
      <c r="D199" s="6">
        <f t="shared" si="22"/>
        <v>0</v>
      </c>
      <c r="E199" s="2">
        <f t="shared" si="21"/>
        <v>11.067500000000001</v>
      </c>
      <c r="F199" s="6">
        <f t="shared" si="23"/>
        <v>0</v>
      </c>
      <c r="G199" s="2">
        <f t="shared" si="27"/>
        <v>5.5337500000000004</v>
      </c>
      <c r="H199" s="6">
        <f t="shared" si="24"/>
        <v>0</v>
      </c>
      <c r="I199" s="2">
        <f t="shared" si="21"/>
        <v>2.7668750000000002</v>
      </c>
      <c r="J199" s="6">
        <f t="shared" si="25"/>
        <v>1.4326845E-9</v>
      </c>
    </row>
    <row r="200" spans="1:10" x14ac:dyDescent="0.25">
      <c r="A200" s="2">
        <f t="shared" si="26"/>
        <v>44.52</v>
      </c>
      <c r="B200" s="6">
        <f t="shared" si="20"/>
        <v>0</v>
      </c>
      <c r="C200" s="2">
        <f t="shared" si="21"/>
        <v>22.26</v>
      </c>
      <c r="D200" s="6">
        <f t="shared" si="22"/>
        <v>0</v>
      </c>
      <c r="E200" s="2">
        <f t="shared" si="21"/>
        <v>11.13</v>
      </c>
      <c r="F200" s="6">
        <f t="shared" si="23"/>
        <v>0</v>
      </c>
      <c r="G200" s="2">
        <f t="shared" si="27"/>
        <v>5.5650000000000004</v>
      </c>
      <c r="H200" s="6">
        <f t="shared" si="24"/>
        <v>0</v>
      </c>
      <c r="I200" s="2">
        <f t="shared" si="21"/>
        <v>2.7825000000000002</v>
      </c>
      <c r="J200" s="6">
        <f t="shared" si="25"/>
        <v>1.2182444000000001E-9</v>
      </c>
    </row>
    <row r="201" spans="1:10" x14ac:dyDescent="0.25">
      <c r="A201" s="2">
        <f t="shared" si="26"/>
        <v>44.77</v>
      </c>
      <c r="B201" s="6">
        <f t="shared" si="20"/>
        <v>0</v>
      </c>
      <c r="C201" s="2">
        <f t="shared" si="21"/>
        <v>22.385000000000002</v>
      </c>
      <c r="D201" s="6">
        <f t="shared" si="22"/>
        <v>0</v>
      </c>
      <c r="E201" s="2">
        <f t="shared" si="21"/>
        <v>11.192500000000001</v>
      </c>
      <c r="F201" s="6">
        <f t="shared" si="23"/>
        <v>0</v>
      </c>
      <c r="G201" s="2">
        <f t="shared" si="27"/>
        <v>5.5962500000000004</v>
      </c>
      <c r="H201" s="6">
        <f t="shared" si="24"/>
        <v>0</v>
      </c>
      <c r="I201" s="2">
        <f t="shared" ref="I201" si="28">I200+J$2</f>
        <v>2.7981250000000002</v>
      </c>
      <c r="J201" s="6">
        <f t="shared" si="25"/>
        <v>1.0360744000000001E-9</v>
      </c>
    </row>
    <row r="202" spans="1:10" x14ac:dyDescent="0.25">
      <c r="A202" s="2">
        <f t="shared" si="26"/>
        <v>45.02</v>
      </c>
      <c r="B202" s="6">
        <f t="shared" ref="B202:B228" si="29">MIN(NORMSDIST((-LN(A202)+$B$1^2/2)/$B$1)-A202*NORMSDIST((-LN(A202)-$B$1^2/2)/$B$1),-NORMSDIST(-(-LN(A202)+$B$1^2/2)/$B$1)+A202*NORMSDIST(-(-LN(A202)-$B$1^2/2)/$B$1))/A202^2</f>
        <v>0</v>
      </c>
      <c r="C202" s="2">
        <f t="shared" ref="C202:I265" si="30">C201+D$2</f>
        <v>22.51</v>
      </c>
      <c r="D202" s="6">
        <f t="shared" ref="D202:D228" si="31">MIN(NORMSDIST((-LN(C202)+$B$1^2/2)/$B$1)-C202*NORMSDIST((-LN(C202)-$B$1^2/2)/$B$1),-NORMSDIST(-(-LN(C202)+$B$1^2/2)/$B$1)+C202*NORMSDIST(-(-LN(C202)-$B$1^2/2)/$B$1))/C202^2</f>
        <v>0</v>
      </c>
      <c r="E202" s="2">
        <f t="shared" si="30"/>
        <v>11.255000000000001</v>
      </c>
      <c r="F202" s="6">
        <f t="shared" ref="F202:F228" si="32">MIN(NORMSDIST((-LN(E202)+$B$1^2/2)/$B$1)-E202*NORMSDIST((-LN(E202)-$B$1^2/2)/$B$1),-NORMSDIST(-(-LN(E202)+$B$1^2/2)/$B$1)+E202*NORMSDIST(-(-LN(E202)-$B$1^2/2)/$B$1))/E202^2</f>
        <v>0</v>
      </c>
      <c r="G202" s="2">
        <f t="shared" si="27"/>
        <v>5.6275000000000004</v>
      </c>
      <c r="H202" s="6">
        <f t="shared" ref="H202:H265" si="33">MIN(NORMSDIST((-LN(G202)+$B$1^2/2)/$B$1)-G202*NORMSDIST((-LN(G202)-$B$1^2/2)/$B$1),-NORMSDIST(-(-LN(G202)+$B$1^2/2)/$B$1)+G202*NORMSDIST(-(-LN(G202)-$B$1^2/2)/$B$1))/G202^2</f>
        <v>0</v>
      </c>
      <c r="I202" s="2">
        <f t="shared" si="30"/>
        <v>2.8137500000000002</v>
      </c>
      <c r="J202" s="6">
        <f t="shared" ref="J202:J265" si="34">MIN(NORMSDIST((-LN(I202)+$B$1^2/2)/$B$1)-I202*NORMSDIST((-LN(I202)-$B$1^2/2)/$B$1),-NORMSDIST(-(-LN(I202)+$B$1^2/2)/$B$1)+I202*NORMSDIST(-(-LN(I202)-$B$1^2/2)/$B$1))/I202^2</f>
        <v>8.8129429999999999E-10</v>
      </c>
    </row>
    <row r="203" spans="1:10" x14ac:dyDescent="0.25">
      <c r="A203" s="2">
        <f t="shared" ref="A203:A266" si="35">A202+B$2</f>
        <v>45.27</v>
      </c>
      <c r="B203" s="6">
        <f t="shared" si="29"/>
        <v>0</v>
      </c>
      <c r="C203" s="2">
        <f t="shared" si="30"/>
        <v>22.635000000000002</v>
      </c>
      <c r="D203" s="6">
        <f t="shared" si="31"/>
        <v>0</v>
      </c>
      <c r="E203" s="2">
        <f t="shared" si="30"/>
        <v>11.317500000000001</v>
      </c>
      <c r="F203" s="6">
        <f t="shared" si="32"/>
        <v>0</v>
      </c>
      <c r="G203" s="2">
        <f t="shared" si="27"/>
        <v>5.6587500000000004</v>
      </c>
      <c r="H203" s="6">
        <f t="shared" si="33"/>
        <v>0</v>
      </c>
      <c r="I203" s="2">
        <f t="shared" si="30"/>
        <v>2.8293750000000002</v>
      </c>
      <c r="J203" s="6">
        <f t="shared" si="34"/>
        <v>7.4976520000000001E-10</v>
      </c>
    </row>
    <row r="204" spans="1:10" x14ac:dyDescent="0.25">
      <c r="A204" s="2">
        <f t="shared" si="35"/>
        <v>45.52</v>
      </c>
      <c r="B204" s="6">
        <f t="shared" si="29"/>
        <v>0</v>
      </c>
      <c r="C204" s="2">
        <f t="shared" si="30"/>
        <v>22.76</v>
      </c>
      <c r="D204" s="6">
        <f t="shared" si="31"/>
        <v>0</v>
      </c>
      <c r="E204" s="2">
        <f t="shared" si="30"/>
        <v>11.38</v>
      </c>
      <c r="F204" s="6">
        <f t="shared" si="32"/>
        <v>0</v>
      </c>
      <c r="G204" s="2">
        <f t="shared" si="27"/>
        <v>5.69</v>
      </c>
      <c r="H204" s="6">
        <f t="shared" si="33"/>
        <v>0</v>
      </c>
      <c r="I204" s="2">
        <f t="shared" si="30"/>
        <v>2.8450000000000002</v>
      </c>
      <c r="J204" s="6">
        <f t="shared" si="34"/>
        <v>6.3797650000000003E-10</v>
      </c>
    </row>
    <row r="205" spans="1:10" x14ac:dyDescent="0.25">
      <c r="A205" s="2">
        <f t="shared" si="35"/>
        <v>45.77</v>
      </c>
      <c r="B205" s="6">
        <f t="shared" si="29"/>
        <v>0</v>
      </c>
      <c r="C205" s="2">
        <f t="shared" si="30"/>
        <v>22.885000000000002</v>
      </c>
      <c r="D205" s="6">
        <f t="shared" si="31"/>
        <v>0</v>
      </c>
      <c r="E205" s="2">
        <f t="shared" si="30"/>
        <v>11.442500000000001</v>
      </c>
      <c r="F205" s="6">
        <f t="shared" si="32"/>
        <v>0</v>
      </c>
      <c r="G205" s="2">
        <f t="shared" si="27"/>
        <v>5.7212500000000004</v>
      </c>
      <c r="H205" s="6">
        <f t="shared" si="33"/>
        <v>0</v>
      </c>
      <c r="I205" s="2">
        <f t="shared" si="30"/>
        <v>2.8606250000000002</v>
      </c>
      <c r="J205" s="6">
        <f t="shared" si="34"/>
        <v>5.4294990000000004E-10</v>
      </c>
    </row>
    <row r="206" spans="1:10" x14ac:dyDescent="0.25">
      <c r="A206" s="2">
        <f t="shared" si="35"/>
        <v>46.02</v>
      </c>
      <c r="B206" s="6">
        <f t="shared" si="29"/>
        <v>0</v>
      </c>
      <c r="C206" s="2">
        <f t="shared" si="30"/>
        <v>23.01</v>
      </c>
      <c r="D206" s="6">
        <f t="shared" si="31"/>
        <v>0</v>
      </c>
      <c r="E206" s="2">
        <f t="shared" si="30"/>
        <v>11.505000000000001</v>
      </c>
      <c r="F206" s="6">
        <f t="shared" si="32"/>
        <v>0</v>
      </c>
      <c r="G206" s="2">
        <f t="shared" ref="G206:G265" si="36">G205+H$2</f>
        <v>5.7525000000000004</v>
      </c>
      <c r="H206" s="6">
        <f t="shared" si="33"/>
        <v>0</v>
      </c>
      <c r="I206" s="2">
        <f t="shared" si="30"/>
        <v>2.8762500000000002</v>
      </c>
      <c r="J206" s="6">
        <f t="shared" si="34"/>
        <v>4.621589E-10</v>
      </c>
    </row>
    <row r="207" spans="1:10" x14ac:dyDescent="0.25">
      <c r="A207" s="2">
        <f t="shared" si="35"/>
        <v>46.27</v>
      </c>
      <c r="B207" s="6">
        <f t="shared" si="29"/>
        <v>0</v>
      </c>
      <c r="C207" s="2">
        <f t="shared" si="30"/>
        <v>23.135000000000002</v>
      </c>
      <c r="D207" s="6">
        <f t="shared" si="31"/>
        <v>0</v>
      </c>
      <c r="E207" s="2">
        <f t="shared" si="30"/>
        <v>11.567500000000001</v>
      </c>
      <c r="F207" s="6">
        <f t="shared" si="32"/>
        <v>0</v>
      </c>
      <c r="G207" s="2">
        <f t="shared" si="36"/>
        <v>5.7837500000000004</v>
      </c>
      <c r="H207" s="6">
        <f t="shared" si="33"/>
        <v>0</v>
      </c>
      <c r="I207" s="2">
        <f t="shared" si="30"/>
        <v>2.8918750000000002</v>
      </c>
      <c r="J207" s="6">
        <f t="shared" si="34"/>
        <v>3.9345959999999998E-10</v>
      </c>
    </row>
    <row r="208" spans="1:10" x14ac:dyDescent="0.25">
      <c r="A208" s="2">
        <f t="shared" si="35"/>
        <v>46.52</v>
      </c>
      <c r="B208" s="6">
        <f t="shared" si="29"/>
        <v>0</v>
      </c>
      <c r="C208" s="2">
        <f t="shared" si="30"/>
        <v>23.26</v>
      </c>
      <c r="D208" s="6">
        <f t="shared" si="31"/>
        <v>0</v>
      </c>
      <c r="E208" s="2">
        <f t="shared" si="30"/>
        <v>11.63</v>
      </c>
      <c r="F208" s="6">
        <f t="shared" si="32"/>
        <v>0</v>
      </c>
      <c r="G208" s="2">
        <f t="shared" si="36"/>
        <v>5.8150000000000004</v>
      </c>
      <c r="H208" s="6">
        <f t="shared" si="33"/>
        <v>0</v>
      </c>
      <c r="I208" s="2">
        <f t="shared" si="30"/>
        <v>2.9075000000000002</v>
      </c>
      <c r="J208" s="6">
        <f t="shared" si="34"/>
        <v>3.3503229999999999E-10</v>
      </c>
    </row>
    <row r="209" spans="1:10" x14ac:dyDescent="0.25">
      <c r="A209" s="2">
        <f t="shared" si="35"/>
        <v>46.77</v>
      </c>
      <c r="B209" s="6">
        <f t="shared" si="29"/>
        <v>0</v>
      </c>
      <c r="C209" s="2">
        <f t="shared" si="30"/>
        <v>23.385000000000002</v>
      </c>
      <c r="D209" s="6">
        <f t="shared" si="31"/>
        <v>0</v>
      </c>
      <c r="E209" s="2">
        <f t="shared" si="30"/>
        <v>11.692500000000001</v>
      </c>
      <c r="F209" s="6">
        <f t="shared" si="32"/>
        <v>0</v>
      </c>
      <c r="G209" s="2">
        <f t="shared" si="36"/>
        <v>5.8462500000000004</v>
      </c>
      <c r="H209" s="6">
        <f t="shared" si="33"/>
        <v>0</v>
      </c>
      <c r="I209" s="2">
        <f t="shared" si="30"/>
        <v>2.9231250000000002</v>
      </c>
      <c r="J209" s="6">
        <f t="shared" si="34"/>
        <v>2.8533270000000002E-10</v>
      </c>
    </row>
    <row r="210" spans="1:10" x14ac:dyDescent="0.25">
      <c r="A210" s="2">
        <f t="shared" si="35"/>
        <v>47.02</v>
      </c>
      <c r="B210" s="6">
        <f t="shared" si="29"/>
        <v>0</v>
      </c>
      <c r="C210" s="2">
        <f t="shared" si="30"/>
        <v>23.51</v>
      </c>
      <c r="D210" s="6">
        <f t="shared" si="31"/>
        <v>0</v>
      </c>
      <c r="E210" s="2">
        <f t="shared" si="30"/>
        <v>11.755000000000001</v>
      </c>
      <c r="F210" s="6">
        <f t="shared" si="32"/>
        <v>0</v>
      </c>
      <c r="G210" s="2">
        <f t="shared" si="36"/>
        <v>5.8775000000000004</v>
      </c>
      <c r="H210" s="6">
        <f t="shared" si="33"/>
        <v>0</v>
      </c>
      <c r="I210" s="2">
        <f t="shared" si="30"/>
        <v>2.9387500000000002</v>
      </c>
      <c r="J210" s="6">
        <f t="shared" si="34"/>
        <v>2.4305E-10</v>
      </c>
    </row>
    <row r="211" spans="1:10" x14ac:dyDescent="0.25">
      <c r="A211" s="2">
        <f t="shared" si="35"/>
        <v>47.27</v>
      </c>
      <c r="B211" s="6">
        <f t="shared" si="29"/>
        <v>0</v>
      </c>
      <c r="C211" s="2">
        <f t="shared" si="30"/>
        <v>23.635000000000002</v>
      </c>
      <c r="D211" s="6">
        <f t="shared" si="31"/>
        <v>0</v>
      </c>
      <c r="E211" s="2">
        <f t="shared" si="30"/>
        <v>11.817500000000001</v>
      </c>
      <c r="F211" s="6">
        <f t="shared" si="32"/>
        <v>0</v>
      </c>
      <c r="G211" s="2">
        <f t="shared" si="36"/>
        <v>5.9087500000000004</v>
      </c>
      <c r="H211" s="6">
        <f t="shared" si="33"/>
        <v>0</v>
      </c>
      <c r="I211" s="2">
        <f t="shared" si="30"/>
        <v>2.9543750000000002</v>
      </c>
      <c r="J211" s="6">
        <f t="shared" si="34"/>
        <v>2.07071E-10</v>
      </c>
    </row>
    <row r="212" spans="1:10" x14ac:dyDescent="0.25">
      <c r="A212" s="2">
        <f t="shared" si="35"/>
        <v>47.52</v>
      </c>
      <c r="B212" s="6">
        <f t="shared" si="29"/>
        <v>0</v>
      </c>
      <c r="C212" s="2">
        <f t="shared" si="30"/>
        <v>23.76</v>
      </c>
      <c r="D212" s="6">
        <f t="shared" si="31"/>
        <v>0</v>
      </c>
      <c r="E212" s="2">
        <f t="shared" si="30"/>
        <v>11.88</v>
      </c>
      <c r="F212" s="6">
        <f t="shared" si="32"/>
        <v>0</v>
      </c>
      <c r="G212" s="2">
        <f t="shared" si="36"/>
        <v>5.94</v>
      </c>
      <c r="H212" s="6">
        <f t="shared" si="33"/>
        <v>0</v>
      </c>
      <c r="I212" s="2">
        <f t="shared" si="30"/>
        <v>2.97</v>
      </c>
      <c r="J212" s="6">
        <f t="shared" si="34"/>
        <v>1.764505E-10</v>
      </c>
    </row>
    <row r="213" spans="1:10" x14ac:dyDescent="0.25">
      <c r="A213" s="2">
        <f t="shared" si="35"/>
        <v>47.77</v>
      </c>
      <c r="B213" s="6">
        <f t="shared" si="29"/>
        <v>0</v>
      </c>
      <c r="C213" s="2">
        <f t="shared" si="30"/>
        <v>23.885000000000002</v>
      </c>
      <c r="D213" s="6">
        <f t="shared" si="31"/>
        <v>0</v>
      </c>
      <c r="E213" s="2">
        <f t="shared" si="30"/>
        <v>11.942500000000001</v>
      </c>
      <c r="F213" s="6">
        <f t="shared" si="32"/>
        <v>0</v>
      </c>
      <c r="G213" s="2">
        <f t="shared" si="36"/>
        <v>5.9712500000000004</v>
      </c>
      <c r="H213" s="6">
        <f t="shared" si="33"/>
        <v>0</v>
      </c>
      <c r="I213" s="2">
        <f t="shared" si="30"/>
        <v>2.9856250000000002</v>
      </c>
      <c r="J213" s="6">
        <f t="shared" si="34"/>
        <v>1.50386E-10</v>
      </c>
    </row>
    <row r="214" spans="1:10" x14ac:dyDescent="0.25">
      <c r="A214" s="2">
        <f t="shared" si="35"/>
        <v>48.02</v>
      </c>
      <c r="B214" s="6">
        <f t="shared" si="29"/>
        <v>0</v>
      </c>
      <c r="C214" s="2">
        <f t="shared" si="30"/>
        <v>24.01</v>
      </c>
      <c r="D214" s="6">
        <f t="shared" si="31"/>
        <v>0</v>
      </c>
      <c r="E214" s="2">
        <f t="shared" si="30"/>
        <v>12.005000000000001</v>
      </c>
      <c r="F214" s="6">
        <f t="shared" si="32"/>
        <v>0</v>
      </c>
      <c r="G214" s="2">
        <f t="shared" si="36"/>
        <v>6.0025000000000004</v>
      </c>
      <c r="H214" s="6">
        <f t="shared" si="33"/>
        <v>0</v>
      </c>
      <c r="I214" s="2">
        <f t="shared" si="30"/>
        <v>3.0012500000000002</v>
      </c>
      <c r="J214" s="6">
        <f t="shared" si="34"/>
        <v>1.281956E-10</v>
      </c>
    </row>
    <row r="215" spans="1:10" x14ac:dyDescent="0.25">
      <c r="A215" s="2">
        <f t="shared" si="35"/>
        <v>48.27</v>
      </c>
      <c r="B215" s="6">
        <f t="shared" si="29"/>
        <v>0</v>
      </c>
      <c r="C215" s="2">
        <f t="shared" si="30"/>
        <v>24.135000000000002</v>
      </c>
      <c r="D215" s="6">
        <f t="shared" si="31"/>
        <v>0</v>
      </c>
      <c r="E215" s="2">
        <f t="shared" si="30"/>
        <v>12.067500000000001</v>
      </c>
      <c r="F215" s="6">
        <f t="shared" si="32"/>
        <v>0</v>
      </c>
      <c r="G215" s="2">
        <f t="shared" si="36"/>
        <v>6.0337500000000004</v>
      </c>
      <c r="H215" s="6">
        <f t="shared" si="33"/>
        <v>0</v>
      </c>
      <c r="I215" s="2">
        <f t="shared" si="30"/>
        <v>3.0168750000000002</v>
      </c>
      <c r="J215" s="6">
        <f t="shared" si="34"/>
        <v>1.0930010000000001E-10</v>
      </c>
    </row>
    <row r="216" spans="1:10" x14ac:dyDescent="0.25">
      <c r="A216" s="2">
        <f t="shared" si="35"/>
        <v>48.52</v>
      </c>
      <c r="B216" s="6">
        <f t="shared" si="29"/>
        <v>0</v>
      </c>
      <c r="C216" s="2">
        <f t="shared" si="30"/>
        <v>24.26</v>
      </c>
      <c r="D216" s="6">
        <f t="shared" si="31"/>
        <v>0</v>
      </c>
      <c r="E216" s="2">
        <f t="shared" si="30"/>
        <v>12.13</v>
      </c>
      <c r="F216" s="6">
        <f t="shared" si="32"/>
        <v>0</v>
      </c>
      <c r="G216" s="2">
        <f t="shared" si="36"/>
        <v>6.0650000000000004</v>
      </c>
      <c r="H216" s="6">
        <f t="shared" si="33"/>
        <v>0</v>
      </c>
      <c r="I216" s="2">
        <f t="shared" si="30"/>
        <v>3.0325000000000002</v>
      </c>
      <c r="J216" s="6">
        <f t="shared" si="34"/>
        <v>9.3207400000000005E-11</v>
      </c>
    </row>
    <row r="217" spans="1:10" x14ac:dyDescent="0.25">
      <c r="A217" s="2">
        <f t="shared" si="35"/>
        <v>48.77</v>
      </c>
      <c r="B217" s="6">
        <f t="shared" si="29"/>
        <v>0</v>
      </c>
      <c r="C217" s="2">
        <f t="shared" si="30"/>
        <v>24.385000000000002</v>
      </c>
      <c r="D217" s="6">
        <f t="shared" si="31"/>
        <v>0</v>
      </c>
      <c r="E217" s="2">
        <f t="shared" si="30"/>
        <v>12.192500000000001</v>
      </c>
      <c r="F217" s="6">
        <f t="shared" si="32"/>
        <v>0</v>
      </c>
      <c r="G217" s="2">
        <f t="shared" si="36"/>
        <v>6.0962500000000004</v>
      </c>
      <c r="H217" s="6">
        <f t="shared" si="33"/>
        <v>0</v>
      </c>
      <c r="I217" s="2">
        <f t="shared" si="30"/>
        <v>3.0481250000000002</v>
      </c>
      <c r="J217" s="6">
        <f t="shared" si="34"/>
        <v>7.94992E-11</v>
      </c>
    </row>
    <row r="218" spans="1:10" x14ac:dyDescent="0.25">
      <c r="A218" s="2">
        <f t="shared" si="35"/>
        <v>49.02</v>
      </c>
      <c r="B218" s="6">
        <f t="shared" si="29"/>
        <v>0</v>
      </c>
      <c r="C218" s="2">
        <f t="shared" si="30"/>
        <v>24.51</v>
      </c>
      <c r="D218" s="6">
        <f t="shared" si="31"/>
        <v>0</v>
      </c>
      <c r="E218" s="2">
        <f t="shared" si="30"/>
        <v>12.255000000000001</v>
      </c>
      <c r="F218" s="6">
        <f t="shared" si="32"/>
        <v>0</v>
      </c>
      <c r="G218" s="2">
        <f t="shared" si="36"/>
        <v>6.1275000000000004</v>
      </c>
      <c r="H218" s="6">
        <f t="shared" si="33"/>
        <v>0</v>
      </c>
      <c r="I218" s="2">
        <f t="shared" si="30"/>
        <v>3.0637500000000002</v>
      </c>
      <c r="J218" s="6">
        <f t="shared" si="34"/>
        <v>6.7820000000000005E-11</v>
      </c>
    </row>
    <row r="219" spans="1:10" x14ac:dyDescent="0.25">
      <c r="A219" s="2">
        <f t="shared" si="35"/>
        <v>49.27</v>
      </c>
      <c r="B219" s="6">
        <f t="shared" si="29"/>
        <v>0</v>
      </c>
      <c r="C219" s="2">
        <f t="shared" si="30"/>
        <v>24.635000000000002</v>
      </c>
      <c r="D219" s="6">
        <f t="shared" si="31"/>
        <v>0</v>
      </c>
      <c r="E219" s="2">
        <f t="shared" si="30"/>
        <v>12.317500000000001</v>
      </c>
      <c r="F219" s="6">
        <f t="shared" si="32"/>
        <v>0</v>
      </c>
      <c r="G219" s="2">
        <f t="shared" si="36"/>
        <v>6.1587500000000004</v>
      </c>
      <c r="H219" s="6">
        <f t="shared" si="33"/>
        <v>0</v>
      </c>
      <c r="I219" s="2">
        <f t="shared" si="30"/>
        <v>3.0793750000000002</v>
      </c>
      <c r="J219" s="6">
        <f t="shared" si="34"/>
        <v>5.7867799999999999E-11</v>
      </c>
    </row>
    <row r="220" spans="1:10" x14ac:dyDescent="0.25">
      <c r="A220" s="2">
        <f t="shared" si="35"/>
        <v>49.52</v>
      </c>
      <c r="B220" s="6">
        <f t="shared" si="29"/>
        <v>0</v>
      </c>
      <c r="C220" s="2">
        <f t="shared" si="30"/>
        <v>24.76</v>
      </c>
      <c r="D220" s="6">
        <f t="shared" si="31"/>
        <v>0</v>
      </c>
      <c r="E220" s="2">
        <f t="shared" si="30"/>
        <v>12.38</v>
      </c>
      <c r="F220" s="6">
        <f t="shared" si="32"/>
        <v>0</v>
      </c>
      <c r="G220" s="2">
        <f t="shared" si="36"/>
        <v>6.19</v>
      </c>
      <c r="H220" s="6">
        <f t="shared" si="33"/>
        <v>0</v>
      </c>
      <c r="I220" s="2">
        <f t="shared" si="30"/>
        <v>3.0950000000000002</v>
      </c>
      <c r="J220" s="6">
        <f t="shared" si="34"/>
        <v>4.9385499999999997E-11</v>
      </c>
    </row>
    <row r="221" spans="1:10" x14ac:dyDescent="0.25">
      <c r="A221" s="2">
        <f t="shared" si="35"/>
        <v>49.77</v>
      </c>
      <c r="B221" s="6">
        <f t="shared" si="29"/>
        <v>0</v>
      </c>
      <c r="C221" s="2">
        <f t="shared" si="30"/>
        <v>24.885000000000002</v>
      </c>
      <c r="D221" s="6">
        <f t="shared" si="31"/>
        <v>0</v>
      </c>
      <c r="E221" s="2">
        <f t="shared" si="30"/>
        <v>12.442500000000001</v>
      </c>
      <c r="F221" s="6">
        <f t="shared" si="32"/>
        <v>0</v>
      </c>
      <c r="G221" s="2">
        <f t="shared" si="36"/>
        <v>6.2212500000000004</v>
      </c>
      <c r="H221" s="6">
        <f t="shared" si="33"/>
        <v>0</v>
      </c>
      <c r="I221" s="2">
        <f t="shared" si="30"/>
        <v>3.1106250000000002</v>
      </c>
      <c r="J221" s="6">
        <f t="shared" si="34"/>
        <v>4.2154800000000003E-11</v>
      </c>
    </row>
    <row r="222" spans="1:10" x14ac:dyDescent="0.25">
      <c r="A222" s="2">
        <f t="shared" si="35"/>
        <v>50.02</v>
      </c>
      <c r="B222" s="6">
        <f t="shared" si="29"/>
        <v>0</v>
      </c>
      <c r="C222" s="2">
        <f t="shared" si="30"/>
        <v>25.01</v>
      </c>
      <c r="D222" s="6">
        <f t="shared" si="31"/>
        <v>0</v>
      </c>
      <c r="E222" s="2">
        <f t="shared" si="30"/>
        <v>12.505000000000001</v>
      </c>
      <c r="F222" s="6">
        <f t="shared" si="32"/>
        <v>0</v>
      </c>
      <c r="G222" s="2">
        <f t="shared" si="36"/>
        <v>6.2525000000000004</v>
      </c>
      <c r="H222" s="6">
        <f t="shared" si="33"/>
        <v>0</v>
      </c>
      <c r="I222" s="2">
        <f t="shared" si="30"/>
        <v>3.1262500000000002</v>
      </c>
      <c r="J222" s="6">
        <f t="shared" si="34"/>
        <v>3.5989799999999998E-11</v>
      </c>
    </row>
    <row r="223" spans="1:10" x14ac:dyDescent="0.25">
      <c r="A223" s="2">
        <f t="shared" si="35"/>
        <v>50.27</v>
      </c>
      <c r="B223" s="6">
        <f t="shared" si="29"/>
        <v>0</v>
      </c>
      <c r="C223" s="2">
        <f t="shared" si="30"/>
        <v>25.135000000000002</v>
      </c>
      <c r="D223" s="6">
        <f t="shared" si="31"/>
        <v>0</v>
      </c>
      <c r="E223" s="2">
        <f t="shared" si="30"/>
        <v>12.567500000000001</v>
      </c>
      <c r="F223" s="6">
        <f t="shared" si="32"/>
        <v>0</v>
      </c>
      <c r="G223" s="2">
        <f t="shared" si="36"/>
        <v>6.2837500000000004</v>
      </c>
      <c r="H223" s="6">
        <f t="shared" si="33"/>
        <v>0</v>
      </c>
      <c r="I223" s="2">
        <f t="shared" si="30"/>
        <v>3.1418750000000002</v>
      </c>
      <c r="J223" s="6">
        <f t="shared" si="34"/>
        <v>3.0732300000000003E-11</v>
      </c>
    </row>
    <row r="224" spans="1:10" x14ac:dyDescent="0.25">
      <c r="A224" s="2">
        <f t="shared" si="35"/>
        <v>50.52</v>
      </c>
      <c r="B224" s="6">
        <f t="shared" si="29"/>
        <v>0</v>
      </c>
      <c r="C224" s="2">
        <f t="shared" si="30"/>
        <v>25.26</v>
      </c>
      <c r="D224" s="6">
        <f t="shared" si="31"/>
        <v>0</v>
      </c>
      <c r="E224" s="2">
        <f t="shared" si="30"/>
        <v>12.63</v>
      </c>
      <c r="F224" s="6">
        <f t="shared" si="32"/>
        <v>0</v>
      </c>
      <c r="G224" s="2">
        <f t="shared" si="36"/>
        <v>6.3150000000000004</v>
      </c>
      <c r="H224" s="6">
        <f t="shared" si="33"/>
        <v>0</v>
      </c>
      <c r="I224" s="2">
        <f t="shared" si="30"/>
        <v>3.1575000000000002</v>
      </c>
      <c r="J224" s="6">
        <f t="shared" si="34"/>
        <v>2.6248099999999998E-11</v>
      </c>
    </row>
    <row r="225" spans="1:10" x14ac:dyDescent="0.25">
      <c r="A225" s="2">
        <f t="shared" si="35"/>
        <v>50.77</v>
      </c>
      <c r="B225" s="6">
        <f t="shared" si="29"/>
        <v>0</v>
      </c>
      <c r="C225" s="2">
        <f t="shared" si="30"/>
        <v>25.385000000000002</v>
      </c>
      <c r="D225" s="6">
        <f t="shared" si="31"/>
        <v>0</v>
      </c>
      <c r="E225" s="2">
        <f t="shared" si="30"/>
        <v>12.692500000000001</v>
      </c>
      <c r="F225" s="6">
        <f t="shared" si="32"/>
        <v>0</v>
      </c>
      <c r="G225" s="2">
        <f t="shared" si="36"/>
        <v>6.3462500000000004</v>
      </c>
      <c r="H225" s="6">
        <f t="shared" si="33"/>
        <v>0</v>
      </c>
      <c r="I225" s="2">
        <f t="shared" si="30"/>
        <v>3.1731250000000002</v>
      </c>
      <c r="J225" s="6">
        <f t="shared" si="34"/>
        <v>2.24226E-11</v>
      </c>
    </row>
    <row r="226" spans="1:10" x14ac:dyDescent="0.25">
      <c r="A226" s="2">
        <f t="shared" si="35"/>
        <v>51.02</v>
      </c>
      <c r="B226" s="6">
        <f t="shared" si="29"/>
        <v>0</v>
      </c>
      <c r="C226" s="2">
        <f t="shared" si="30"/>
        <v>25.51</v>
      </c>
      <c r="D226" s="6">
        <f t="shared" si="31"/>
        <v>0</v>
      </c>
      <c r="E226" s="2">
        <f t="shared" si="30"/>
        <v>12.755000000000001</v>
      </c>
      <c r="F226" s="6">
        <f t="shared" si="32"/>
        <v>0</v>
      </c>
      <c r="G226" s="2">
        <f t="shared" si="36"/>
        <v>6.3775000000000004</v>
      </c>
      <c r="H226" s="6">
        <f t="shared" si="33"/>
        <v>0</v>
      </c>
      <c r="I226" s="2">
        <f t="shared" si="30"/>
        <v>3.1887500000000002</v>
      </c>
      <c r="J226" s="6">
        <f t="shared" si="34"/>
        <v>1.9158399999999999E-11</v>
      </c>
    </row>
    <row r="227" spans="1:10" x14ac:dyDescent="0.25">
      <c r="A227" s="2">
        <f t="shared" si="35"/>
        <v>51.27</v>
      </c>
      <c r="B227" s="6">
        <f t="shared" si="29"/>
        <v>0</v>
      </c>
      <c r="C227" s="2">
        <f t="shared" si="30"/>
        <v>25.635000000000002</v>
      </c>
      <c r="D227" s="6">
        <f t="shared" si="31"/>
        <v>0</v>
      </c>
      <c r="E227" s="2">
        <f t="shared" si="30"/>
        <v>12.817500000000001</v>
      </c>
      <c r="F227" s="6">
        <f t="shared" si="32"/>
        <v>0</v>
      </c>
      <c r="G227" s="2">
        <f t="shared" si="36"/>
        <v>6.4087500000000004</v>
      </c>
      <c r="H227" s="6">
        <f t="shared" si="33"/>
        <v>0</v>
      </c>
      <c r="I227" s="2">
        <f t="shared" si="30"/>
        <v>3.2043750000000002</v>
      </c>
      <c r="J227" s="6">
        <f t="shared" si="34"/>
        <v>1.6372699999999999E-11</v>
      </c>
    </row>
    <row r="228" spans="1:10" x14ac:dyDescent="0.25">
      <c r="A228" s="2">
        <f t="shared" si="35"/>
        <v>51.52</v>
      </c>
      <c r="B228" s="6">
        <f t="shared" si="29"/>
        <v>0</v>
      </c>
      <c r="C228" s="2">
        <f t="shared" si="30"/>
        <v>25.76</v>
      </c>
      <c r="D228" s="6">
        <f t="shared" si="31"/>
        <v>0</v>
      </c>
      <c r="E228" s="2">
        <f t="shared" si="30"/>
        <v>12.88</v>
      </c>
      <c r="F228" s="6">
        <f t="shared" si="32"/>
        <v>0</v>
      </c>
      <c r="G228" s="2">
        <f t="shared" si="36"/>
        <v>6.44</v>
      </c>
      <c r="H228" s="6">
        <f t="shared" si="33"/>
        <v>0</v>
      </c>
      <c r="I228" s="2">
        <f t="shared" si="30"/>
        <v>3.22</v>
      </c>
      <c r="J228" s="6">
        <f t="shared" si="34"/>
        <v>1.39948E-11</v>
      </c>
    </row>
    <row r="229" spans="1:10" x14ac:dyDescent="0.25">
      <c r="A229" s="2">
        <f t="shared" si="35"/>
        <v>51.77</v>
      </c>
      <c r="B229" s="6">
        <f t="shared" ref="B229:B291" si="37">MIN(NORMSDIST((-LN(A229)+$B$1^2/2)/$B$1)-A229*NORMSDIST((-LN(A229)-$B$1^2/2)/$B$1),-NORMSDIST(-(-LN(A229)+$B$1^2/2)/$B$1)+A229*NORMSDIST(-(-LN(A229)-$B$1^2/2)/$B$1))/A229^2</f>
        <v>0</v>
      </c>
      <c r="C229" s="2">
        <f t="shared" si="30"/>
        <v>25.885000000000002</v>
      </c>
      <c r="D229" s="6">
        <f t="shared" ref="D229:D291" si="38">MIN(NORMSDIST((-LN(C229)+$B$1^2/2)/$B$1)-C229*NORMSDIST((-LN(C229)-$B$1^2/2)/$B$1),-NORMSDIST(-(-LN(C229)+$B$1^2/2)/$B$1)+C229*NORMSDIST(-(-LN(C229)-$B$1^2/2)/$B$1))/C229^2</f>
        <v>0</v>
      </c>
      <c r="E229" s="2">
        <f t="shared" si="30"/>
        <v>12.942500000000001</v>
      </c>
      <c r="F229" s="6">
        <f t="shared" ref="F229:F291" si="39">MIN(NORMSDIST((-LN(E229)+$B$1^2/2)/$B$1)-E229*NORMSDIST((-LN(E229)-$B$1^2/2)/$B$1),-NORMSDIST(-(-LN(E229)+$B$1^2/2)/$B$1)+E229*NORMSDIST(-(-LN(E229)-$B$1^2/2)/$B$1))/E229^2</f>
        <v>0</v>
      </c>
      <c r="G229" s="2">
        <f t="shared" si="36"/>
        <v>6.4712500000000004</v>
      </c>
      <c r="H229" s="6">
        <f t="shared" si="33"/>
        <v>0</v>
      </c>
      <c r="I229" s="2">
        <f t="shared" si="30"/>
        <v>3.2356250000000002</v>
      </c>
      <c r="J229" s="6">
        <f t="shared" si="34"/>
        <v>1.1964700000000001E-11</v>
      </c>
    </row>
    <row r="230" spans="1:10" x14ac:dyDescent="0.25">
      <c r="A230" s="2">
        <f t="shared" si="35"/>
        <v>52.02</v>
      </c>
      <c r="B230" s="6">
        <f t="shared" si="37"/>
        <v>0</v>
      </c>
      <c r="C230" s="2">
        <f t="shared" si="30"/>
        <v>26.01</v>
      </c>
      <c r="D230" s="6">
        <f t="shared" si="38"/>
        <v>0</v>
      </c>
      <c r="E230" s="2">
        <f t="shared" si="30"/>
        <v>13.005000000000001</v>
      </c>
      <c r="F230" s="6">
        <f t="shared" si="39"/>
        <v>0</v>
      </c>
      <c r="G230" s="2">
        <f t="shared" si="36"/>
        <v>6.5025000000000004</v>
      </c>
      <c r="H230" s="6">
        <f t="shared" si="33"/>
        <v>0</v>
      </c>
      <c r="I230" s="2">
        <f t="shared" si="30"/>
        <v>3.2512500000000002</v>
      </c>
      <c r="J230" s="6">
        <f t="shared" si="34"/>
        <v>1.02311E-11</v>
      </c>
    </row>
    <row r="231" spans="1:10" x14ac:dyDescent="0.25">
      <c r="A231" s="2">
        <f t="shared" si="35"/>
        <v>52.27</v>
      </c>
      <c r="B231" s="6">
        <f t="shared" si="37"/>
        <v>0</v>
      </c>
      <c r="C231" s="2">
        <f t="shared" si="30"/>
        <v>26.135000000000002</v>
      </c>
      <c r="D231" s="6">
        <f t="shared" si="38"/>
        <v>0</v>
      </c>
      <c r="E231" s="2">
        <f t="shared" si="30"/>
        <v>13.067500000000001</v>
      </c>
      <c r="F231" s="6">
        <f t="shared" si="39"/>
        <v>0</v>
      </c>
      <c r="G231" s="2">
        <f t="shared" si="36"/>
        <v>6.5337500000000004</v>
      </c>
      <c r="H231" s="6">
        <f t="shared" si="33"/>
        <v>0</v>
      </c>
      <c r="I231" s="2">
        <f t="shared" si="30"/>
        <v>3.2668750000000002</v>
      </c>
      <c r="J231" s="6">
        <f t="shared" si="34"/>
        <v>8.7504000000000004E-12</v>
      </c>
    </row>
    <row r="232" spans="1:10" x14ac:dyDescent="0.25">
      <c r="A232" s="2">
        <f t="shared" si="35"/>
        <v>52.52</v>
      </c>
      <c r="B232" s="6">
        <f t="shared" si="37"/>
        <v>0</v>
      </c>
      <c r="C232" s="2">
        <f t="shared" si="30"/>
        <v>26.26</v>
      </c>
      <c r="D232" s="6">
        <f t="shared" si="38"/>
        <v>0</v>
      </c>
      <c r="E232" s="2">
        <f t="shared" si="30"/>
        <v>13.13</v>
      </c>
      <c r="F232" s="6">
        <f t="shared" si="39"/>
        <v>0</v>
      </c>
      <c r="G232" s="2">
        <f t="shared" si="36"/>
        <v>6.5650000000000004</v>
      </c>
      <c r="H232" s="6">
        <f t="shared" si="33"/>
        <v>0</v>
      </c>
      <c r="I232" s="2">
        <f t="shared" si="30"/>
        <v>3.2825000000000002</v>
      </c>
      <c r="J232" s="6">
        <f t="shared" si="34"/>
        <v>7.4855999999999995E-12</v>
      </c>
    </row>
    <row r="233" spans="1:10" x14ac:dyDescent="0.25">
      <c r="A233" s="2">
        <f t="shared" si="35"/>
        <v>52.77</v>
      </c>
      <c r="B233" s="6">
        <f t="shared" si="37"/>
        <v>0</v>
      </c>
      <c r="C233" s="2">
        <f t="shared" si="30"/>
        <v>26.385000000000002</v>
      </c>
      <c r="D233" s="6">
        <f t="shared" si="38"/>
        <v>0</v>
      </c>
      <c r="E233" s="2">
        <f t="shared" si="30"/>
        <v>13.192500000000001</v>
      </c>
      <c r="F233" s="6">
        <f t="shared" si="39"/>
        <v>0</v>
      </c>
      <c r="G233" s="2">
        <f t="shared" si="36"/>
        <v>6.5962500000000004</v>
      </c>
      <c r="H233" s="6">
        <f t="shared" si="33"/>
        <v>0</v>
      </c>
      <c r="I233" s="2">
        <f t="shared" si="30"/>
        <v>3.2981250000000002</v>
      </c>
      <c r="J233" s="6">
        <f t="shared" si="34"/>
        <v>6.4048000000000003E-12</v>
      </c>
    </row>
    <row r="234" spans="1:10" x14ac:dyDescent="0.25">
      <c r="A234" s="2">
        <f t="shared" si="35"/>
        <v>53.02</v>
      </c>
      <c r="B234" s="6">
        <f t="shared" si="37"/>
        <v>0</v>
      </c>
      <c r="C234" s="2">
        <f t="shared" si="30"/>
        <v>26.51</v>
      </c>
      <c r="D234" s="6">
        <f t="shared" si="38"/>
        <v>0</v>
      </c>
      <c r="E234" s="2">
        <f t="shared" si="30"/>
        <v>13.255000000000001</v>
      </c>
      <c r="F234" s="6">
        <f t="shared" si="39"/>
        <v>0</v>
      </c>
      <c r="G234" s="2">
        <f t="shared" si="36"/>
        <v>6.6275000000000004</v>
      </c>
      <c r="H234" s="6">
        <f t="shared" si="33"/>
        <v>0</v>
      </c>
      <c r="I234" s="2">
        <f t="shared" si="30"/>
        <v>3.3137500000000002</v>
      </c>
      <c r="J234" s="6">
        <f t="shared" si="34"/>
        <v>5.4813000000000001E-12</v>
      </c>
    </row>
    <row r="235" spans="1:10" x14ac:dyDescent="0.25">
      <c r="A235" s="2">
        <f t="shared" si="35"/>
        <v>53.27</v>
      </c>
      <c r="B235" s="6">
        <f t="shared" si="37"/>
        <v>0</v>
      </c>
      <c r="C235" s="2">
        <f t="shared" si="30"/>
        <v>26.635000000000002</v>
      </c>
      <c r="D235" s="6">
        <f t="shared" si="38"/>
        <v>0</v>
      </c>
      <c r="E235" s="2">
        <f t="shared" si="30"/>
        <v>13.317500000000001</v>
      </c>
      <c r="F235" s="6">
        <f t="shared" si="39"/>
        <v>0</v>
      </c>
      <c r="G235" s="2">
        <f t="shared" si="36"/>
        <v>6.6587500000000004</v>
      </c>
      <c r="H235" s="6">
        <f t="shared" si="33"/>
        <v>0</v>
      </c>
      <c r="I235" s="2">
        <f t="shared" si="30"/>
        <v>3.3293750000000002</v>
      </c>
      <c r="J235" s="6">
        <f t="shared" si="34"/>
        <v>4.6917999999999999E-12</v>
      </c>
    </row>
    <row r="236" spans="1:10" x14ac:dyDescent="0.25">
      <c r="A236" s="2">
        <f t="shared" si="35"/>
        <v>53.52</v>
      </c>
      <c r="B236" s="6">
        <f t="shared" si="37"/>
        <v>0</v>
      </c>
      <c r="C236" s="2">
        <f t="shared" si="30"/>
        <v>26.76</v>
      </c>
      <c r="D236" s="6">
        <f t="shared" si="38"/>
        <v>0</v>
      </c>
      <c r="E236" s="2">
        <f t="shared" si="30"/>
        <v>13.38</v>
      </c>
      <c r="F236" s="6">
        <f t="shared" si="39"/>
        <v>0</v>
      </c>
      <c r="G236" s="2">
        <f t="shared" si="36"/>
        <v>6.69</v>
      </c>
      <c r="H236" s="6">
        <f t="shared" si="33"/>
        <v>0</v>
      </c>
      <c r="I236" s="2">
        <f t="shared" si="30"/>
        <v>3.3450000000000002</v>
      </c>
      <c r="J236" s="6">
        <f t="shared" si="34"/>
        <v>4.0169E-12</v>
      </c>
    </row>
    <row r="237" spans="1:10" x14ac:dyDescent="0.25">
      <c r="A237" s="2">
        <f t="shared" si="35"/>
        <v>53.77</v>
      </c>
      <c r="B237" s="6">
        <f t="shared" si="37"/>
        <v>0</v>
      </c>
      <c r="C237" s="2">
        <f t="shared" si="30"/>
        <v>26.885000000000002</v>
      </c>
      <c r="D237" s="6">
        <f t="shared" si="38"/>
        <v>0</v>
      </c>
      <c r="E237" s="2">
        <f t="shared" si="30"/>
        <v>13.442500000000001</v>
      </c>
      <c r="F237" s="6">
        <f t="shared" si="39"/>
        <v>0</v>
      </c>
      <c r="G237" s="2">
        <f t="shared" si="36"/>
        <v>6.7212500000000004</v>
      </c>
      <c r="H237" s="6">
        <f t="shared" si="33"/>
        <v>0</v>
      </c>
      <c r="I237" s="2">
        <f t="shared" si="30"/>
        <v>3.3606250000000002</v>
      </c>
      <c r="J237" s="6">
        <f t="shared" si="34"/>
        <v>3.4397E-12</v>
      </c>
    </row>
    <row r="238" spans="1:10" x14ac:dyDescent="0.25">
      <c r="A238" s="2">
        <f t="shared" si="35"/>
        <v>54.02</v>
      </c>
      <c r="B238" s="6">
        <f t="shared" si="37"/>
        <v>0</v>
      </c>
      <c r="C238" s="2">
        <f t="shared" si="30"/>
        <v>27.01</v>
      </c>
      <c r="D238" s="6">
        <f t="shared" si="38"/>
        <v>0</v>
      </c>
      <c r="E238" s="2">
        <f t="shared" si="30"/>
        <v>13.505000000000001</v>
      </c>
      <c r="F238" s="6">
        <f t="shared" si="39"/>
        <v>0</v>
      </c>
      <c r="G238" s="2">
        <f t="shared" si="36"/>
        <v>6.7525000000000004</v>
      </c>
      <c r="H238" s="6">
        <f t="shared" si="33"/>
        <v>0</v>
      </c>
      <c r="I238" s="2">
        <f t="shared" si="30"/>
        <v>3.3762500000000002</v>
      </c>
      <c r="J238" s="6">
        <f t="shared" si="34"/>
        <v>2.9461000000000001E-12</v>
      </c>
    </row>
    <row r="239" spans="1:10" x14ac:dyDescent="0.25">
      <c r="A239" s="2">
        <f t="shared" si="35"/>
        <v>54.27</v>
      </c>
      <c r="B239" s="6">
        <f t="shared" si="37"/>
        <v>0</v>
      </c>
      <c r="C239" s="2">
        <f t="shared" si="30"/>
        <v>27.135000000000002</v>
      </c>
      <c r="D239" s="6">
        <f t="shared" si="38"/>
        <v>0</v>
      </c>
      <c r="E239" s="2">
        <f t="shared" si="30"/>
        <v>13.567500000000001</v>
      </c>
      <c r="F239" s="6">
        <f t="shared" si="39"/>
        <v>0</v>
      </c>
      <c r="G239" s="2">
        <f t="shared" si="36"/>
        <v>6.7837500000000004</v>
      </c>
      <c r="H239" s="6">
        <f t="shared" si="33"/>
        <v>0</v>
      </c>
      <c r="I239" s="2">
        <f t="shared" si="30"/>
        <v>3.3918750000000002</v>
      </c>
      <c r="J239" s="6">
        <f t="shared" si="34"/>
        <v>2.5237999999999998E-12</v>
      </c>
    </row>
    <row r="240" spans="1:10" x14ac:dyDescent="0.25">
      <c r="A240" s="2">
        <f t="shared" si="35"/>
        <v>54.52</v>
      </c>
      <c r="B240" s="6">
        <f t="shared" si="37"/>
        <v>0</v>
      </c>
      <c r="C240" s="2">
        <f t="shared" si="30"/>
        <v>27.26</v>
      </c>
      <c r="D240" s="6">
        <f t="shared" si="38"/>
        <v>0</v>
      </c>
      <c r="E240" s="2">
        <f t="shared" si="30"/>
        <v>13.63</v>
      </c>
      <c r="F240" s="6">
        <f t="shared" si="39"/>
        <v>0</v>
      </c>
      <c r="G240" s="2">
        <f t="shared" si="36"/>
        <v>6.8150000000000004</v>
      </c>
      <c r="H240" s="6">
        <f t="shared" si="33"/>
        <v>0</v>
      </c>
      <c r="I240" s="2">
        <f t="shared" si="30"/>
        <v>3.4075000000000002</v>
      </c>
      <c r="J240" s="6">
        <f t="shared" si="34"/>
        <v>2.1625000000000001E-12</v>
      </c>
    </row>
    <row r="241" spans="1:10" x14ac:dyDescent="0.25">
      <c r="A241" s="2">
        <f t="shared" si="35"/>
        <v>54.77</v>
      </c>
      <c r="B241" s="6">
        <f t="shared" si="37"/>
        <v>0</v>
      </c>
      <c r="C241" s="2">
        <f t="shared" si="30"/>
        <v>27.385000000000002</v>
      </c>
      <c r="D241" s="6">
        <f t="shared" si="38"/>
        <v>0</v>
      </c>
      <c r="E241" s="2">
        <f t="shared" si="30"/>
        <v>13.692500000000001</v>
      </c>
      <c r="F241" s="6">
        <f t="shared" si="39"/>
        <v>0</v>
      </c>
      <c r="G241" s="2">
        <f t="shared" si="36"/>
        <v>6.8462500000000004</v>
      </c>
      <c r="H241" s="6">
        <f t="shared" si="33"/>
        <v>0</v>
      </c>
      <c r="I241" s="2">
        <f t="shared" si="30"/>
        <v>3.4231250000000002</v>
      </c>
      <c r="J241" s="6">
        <f t="shared" si="34"/>
        <v>1.8534000000000002E-12</v>
      </c>
    </row>
    <row r="242" spans="1:10" x14ac:dyDescent="0.25">
      <c r="A242" s="2">
        <f t="shared" si="35"/>
        <v>55.02</v>
      </c>
      <c r="B242" s="6">
        <f t="shared" si="37"/>
        <v>0</v>
      </c>
      <c r="C242" s="2">
        <f t="shared" si="30"/>
        <v>27.51</v>
      </c>
      <c r="D242" s="6">
        <f t="shared" si="38"/>
        <v>0</v>
      </c>
      <c r="E242" s="2">
        <f t="shared" si="30"/>
        <v>13.755000000000001</v>
      </c>
      <c r="F242" s="6">
        <f t="shared" si="39"/>
        <v>0</v>
      </c>
      <c r="G242" s="2">
        <f t="shared" si="36"/>
        <v>6.8775000000000004</v>
      </c>
      <c r="H242" s="6">
        <f t="shared" si="33"/>
        <v>0</v>
      </c>
      <c r="I242" s="2">
        <f t="shared" si="30"/>
        <v>3.4387500000000002</v>
      </c>
      <c r="J242" s="6">
        <f t="shared" si="34"/>
        <v>1.5887000000000001E-12</v>
      </c>
    </row>
    <row r="243" spans="1:10" x14ac:dyDescent="0.25">
      <c r="A243" s="2">
        <f t="shared" si="35"/>
        <v>55.27</v>
      </c>
      <c r="B243" s="6">
        <f t="shared" si="37"/>
        <v>0</v>
      </c>
      <c r="C243" s="2">
        <f t="shared" si="30"/>
        <v>27.635000000000002</v>
      </c>
      <c r="D243" s="6">
        <f t="shared" si="38"/>
        <v>0</v>
      </c>
      <c r="E243" s="2">
        <f t="shared" si="30"/>
        <v>13.817500000000001</v>
      </c>
      <c r="F243" s="6">
        <f t="shared" si="39"/>
        <v>0</v>
      </c>
      <c r="G243" s="2">
        <f t="shared" si="36"/>
        <v>6.9087500000000004</v>
      </c>
      <c r="H243" s="6">
        <f t="shared" si="33"/>
        <v>0</v>
      </c>
      <c r="I243" s="2">
        <f t="shared" si="30"/>
        <v>3.4543750000000002</v>
      </c>
      <c r="J243" s="6">
        <f t="shared" si="34"/>
        <v>1.3621E-12</v>
      </c>
    </row>
    <row r="244" spans="1:10" x14ac:dyDescent="0.25">
      <c r="A244" s="2">
        <f t="shared" si="35"/>
        <v>55.52</v>
      </c>
      <c r="B244" s="6">
        <f t="shared" si="37"/>
        <v>0</v>
      </c>
      <c r="C244" s="2">
        <f t="shared" si="30"/>
        <v>27.76</v>
      </c>
      <c r="D244" s="6">
        <f t="shared" si="38"/>
        <v>0</v>
      </c>
      <c r="E244" s="2">
        <f t="shared" si="30"/>
        <v>13.88</v>
      </c>
      <c r="F244" s="6">
        <f t="shared" si="39"/>
        <v>0</v>
      </c>
      <c r="G244" s="2">
        <f t="shared" si="36"/>
        <v>6.94</v>
      </c>
      <c r="H244" s="6">
        <f t="shared" si="33"/>
        <v>0</v>
      </c>
      <c r="I244" s="2">
        <f t="shared" si="30"/>
        <v>3.47</v>
      </c>
      <c r="J244" s="6">
        <f t="shared" si="34"/>
        <v>1.1681E-12</v>
      </c>
    </row>
    <row r="245" spans="1:10" x14ac:dyDescent="0.25">
      <c r="A245" s="2">
        <f t="shared" si="35"/>
        <v>55.77</v>
      </c>
      <c r="B245" s="6">
        <f t="shared" si="37"/>
        <v>0</v>
      </c>
      <c r="C245" s="2">
        <f t="shared" si="30"/>
        <v>27.885000000000002</v>
      </c>
      <c r="D245" s="6">
        <f t="shared" si="38"/>
        <v>0</v>
      </c>
      <c r="E245" s="2">
        <f t="shared" si="30"/>
        <v>13.942500000000001</v>
      </c>
      <c r="F245" s="6">
        <f t="shared" si="39"/>
        <v>0</v>
      </c>
      <c r="G245" s="2">
        <f t="shared" si="36"/>
        <v>6.9712500000000004</v>
      </c>
      <c r="H245" s="6">
        <f t="shared" si="33"/>
        <v>0</v>
      </c>
      <c r="I245" s="2">
        <f t="shared" si="30"/>
        <v>3.4856250000000002</v>
      </c>
      <c r="J245" s="6">
        <f t="shared" si="34"/>
        <v>1.0019E-12</v>
      </c>
    </row>
    <row r="246" spans="1:10" x14ac:dyDescent="0.25">
      <c r="A246" s="2">
        <f t="shared" si="35"/>
        <v>56.02</v>
      </c>
      <c r="B246" s="6">
        <f t="shared" si="37"/>
        <v>0</v>
      </c>
      <c r="C246" s="2">
        <f t="shared" si="30"/>
        <v>28.01</v>
      </c>
      <c r="D246" s="6">
        <f t="shared" si="38"/>
        <v>0</v>
      </c>
      <c r="E246" s="2">
        <f t="shared" si="30"/>
        <v>14.005000000000001</v>
      </c>
      <c r="F246" s="6">
        <f t="shared" si="39"/>
        <v>0</v>
      </c>
      <c r="G246" s="2">
        <f t="shared" si="36"/>
        <v>7.0025000000000004</v>
      </c>
      <c r="H246" s="6">
        <f t="shared" si="33"/>
        <v>0</v>
      </c>
      <c r="I246" s="2">
        <f t="shared" si="30"/>
        <v>3.5012500000000002</v>
      </c>
      <c r="J246" s="6">
        <f t="shared" si="34"/>
        <v>8.5950000000000002E-13</v>
      </c>
    </row>
    <row r="247" spans="1:10" x14ac:dyDescent="0.25">
      <c r="A247" s="2">
        <f t="shared" si="35"/>
        <v>56.27</v>
      </c>
      <c r="B247" s="6">
        <f t="shared" si="37"/>
        <v>0</v>
      </c>
      <c r="C247" s="2">
        <f t="shared" si="30"/>
        <v>28.135000000000002</v>
      </c>
      <c r="D247" s="6">
        <f t="shared" si="38"/>
        <v>0</v>
      </c>
      <c r="E247" s="2">
        <f t="shared" si="30"/>
        <v>14.067500000000001</v>
      </c>
      <c r="F247" s="6">
        <f t="shared" si="39"/>
        <v>0</v>
      </c>
      <c r="G247" s="2">
        <f t="shared" si="36"/>
        <v>7.0337500000000004</v>
      </c>
      <c r="H247" s="6">
        <f t="shared" si="33"/>
        <v>0</v>
      </c>
      <c r="I247" s="2">
        <f t="shared" si="30"/>
        <v>3.5168750000000002</v>
      </c>
      <c r="J247" s="6">
        <f t="shared" si="34"/>
        <v>7.3750000000000004E-13</v>
      </c>
    </row>
    <row r="248" spans="1:10" x14ac:dyDescent="0.25">
      <c r="A248" s="2">
        <f t="shared" si="35"/>
        <v>56.52</v>
      </c>
      <c r="B248" s="6">
        <f t="shared" si="37"/>
        <v>0</v>
      </c>
      <c r="C248" s="2">
        <f t="shared" si="30"/>
        <v>28.26</v>
      </c>
      <c r="D248" s="6">
        <f t="shared" si="38"/>
        <v>0</v>
      </c>
      <c r="E248" s="2">
        <f t="shared" si="30"/>
        <v>14.13</v>
      </c>
      <c r="F248" s="6">
        <f t="shared" si="39"/>
        <v>0</v>
      </c>
      <c r="G248" s="2">
        <f t="shared" si="36"/>
        <v>7.0650000000000004</v>
      </c>
      <c r="H248" s="6">
        <f t="shared" si="33"/>
        <v>0</v>
      </c>
      <c r="I248" s="2">
        <f t="shared" si="30"/>
        <v>3.5325000000000002</v>
      </c>
      <c r="J248" s="6">
        <f t="shared" si="34"/>
        <v>6.3300000000000003E-13</v>
      </c>
    </row>
    <row r="249" spans="1:10" x14ac:dyDescent="0.25">
      <c r="A249" s="2">
        <f t="shared" si="35"/>
        <v>56.77</v>
      </c>
      <c r="B249" s="6">
        <f t="shared" si="37"/>
        <v>0</v>
      </c>
      <c r="C249" s="2">
        <f t="shared" si="30"/>
        <v>28.385000000000002</v>
      </c>
      <c r="D249" s="6">
        <f t="shared" si="38"/>
        <v>0</v>
      </c>
      <c r="E249" s="2">
        <f t="shared" si="30"/>
        <v>14.192500000000001</v>
      </c>
      <c r="F249" s="6">
        <f t="shared" si="39"/>
        <v>0</v>
      </c>
      <c r="G249" s="2">
        <f t="shared" si="36"/>
        <v>7.0962500000000004</v>
      </c>
      <c r="H249" s="6">
        <f t="shared" si="33"/>
        <v>0</v>
      </c>
      <c r="I249" s="2">
        <f t="shared" si="30"/>
        <v>3.5481250000000002</v>
      </c>
      <c r="J249" s="6">
        <f t="shared" si="34"/>
        <v>5.4339999999999999E-13</v>
      </c>
    </row>
    <row r="250" spans="1:10" x14ac:dyDescent="0.25">
      <c r="A250" s="2">
        <f t="shared" si="35"/>
        <v>57.02</v>
      </c>
      <c r="B250" s="6">
        <f t="shared" si="37"/>
        <v>0</v>
      </c>
      <c r="C250" s="2">
        <f t="shared" si="30"/>
        <v>28.51</v>
      </c>
      <c r="D250" s="6">
        <f t="shared" si="38"/>
        <v>0</v>
      </c>
      <c r="E250" s="2">
        <f t="shared" si="30"/>
        <v>14.255000000000001</v>
      </c>
      <c r="F250" s="6">
        <f t="shared" si="39"/>
        <v>0</v>
      </c>
      <c r="G250" s="2">
        <f t="shared" si="36"/>
        <v>7.1275000000000004</v>
      </c>
      <c r="H250" s="6">
        <f t="shared" si="33"/>
        <v>0</v>
      </c>
      <c r="I250" s="2">
        <f t="shared" si="30"/>
        <v>3.5637500000000002</v>
      </c>
      <c r="J250" s="6">
        <f t="shared" si="34"/>
        <v>4.6659999999999995E-13</v>
      </c>
    </row>
    <row r="251" spans="1:10" x14ac:dyDescent="0.25">
      <c r="A251" s="2">
        <f t="shared" si="35"/>
        <v>57.27</v>
      </c>
      <c r="B251" s="6">
        <f t="shared" si="37"/>
        <v>0</v>
      </c>
      <c r="C251" s="2">
        <f t="shared" si="30"/>
        <v>28.635000000000002</v>
      </c>
      <c r="D251" s="6">
        <f t="shared" si="38"/>
        <v>0</v>
      </c>
      <c r="E251" s="2">
        <f t="shared" si="30"/>
        <v>14.317500000000001</v>
      </c>
      <c r="F251" s="6">
        <f t="shared" si="39"/>
        <v>0</v>
      </c>
      <c r="G251" s="2">
        <f t="shared" si="36"/>
        <v>7.1587500000000004</v>
      </c>
      <c r="H251" s="6">
        <f t="shared" si="33"/>
        <v>0</v>
      </c>
      <c r="I251" s="2">
        <f t="shared" si="30"/>
        <v>3.5793750000000002</v>
      </c>
      <c r="J251" s="6">
        <f t="shared" si="34"/>
        <v>4.007E-13</v>
      </c>
    </row>
    <row r="252" spans="1:10" x14ac:dyDescent="0.25">
      <c r="A252" s="2">
        <f t="shared" si="35"/>
        <v>57.52</v>
      </c>
      <c r="B252" s="6">
        <f t="shared" si="37"/>
        <v>0</v>
      </c>
      <c r="C252" s="2">
        <f t="shared" si="30"/>
        <v>28.76</v>
      </c>
      <c r="D252" s="6">
        <f t="shared" si="38"/>
        <v>0</v>
      </c>
      <c r="E252" s="2">
        <f t="shared" si="30"/>
        <v>14.38</v>
      </c>
      <c r="F252" s="6">
        <f t="shared" si="39"/>
        <v>0</v>
      </c>
      <c r="G252" s="2">
        <f t="shared" si="36"/>
        <v>7.19</v>
      </c>
      <c r="H252" s="6">
        <f t="shared" si="33"/>
        <v>0</v>
      </c>
      <c r="I252" s="2">
        <f t="shared" si="30"/>
        <v>3.5950000000000002</v>
      </c>
      <c r="J252" s="6">
        <f t="shared" si="34"/>
        <v>3.4419999999999999E-13</v>
      </c>
    </row>
    <row r="253" spans="1:10" x14ac:dyDescent="0.25">
      <c r="A253" s="2">
        <f t="shared" si="35"/>
        <v>57.77</v>
      </c>
      <c r="B253" s="6">
        <f t="shared" si="37"/>
        <v>0</v>
      </c>
      <c r="C253" s="2">
        <f t="shared" si="30"/>
        <v>28.885000000000002</v>
      </c>
      <c r="D253" s="6">
        <f t="shared" si="38"/>
        <v>0</v>
      </c>
      <c r="E253" s="2">
        <f t="shared" si="30"/>
        <v>14.442500000000001</v>
      </c>
      <c r="F253" s="6">
        <f t="shared" si="39"/>
        <v>0</v>
      </c>
      <c r="G253" s="2">
        <f t="shared" si="36"/>
        <v>7.2212500000000004</v>
      </c>
      <c r="H253" s="6">
        <f t="shared" si="33"/>
        <v>0</v>
      </c>
      <c r="I253" s="2">
        <f t="shared" si="30"/>
        <v>3.6106250000000002</v>
      </c>
      <c r="J253" s="6">
        <f t="shared" si="34"/>
        <v>2.9569999999999999E-13</v>
      </c>
    </row>
    <row r="254" spans="1:10" x14ac:dyDescent="0.25">
      <c r="A254" s="2">
        <f t="shared" si="35"/>
        <v>58.02</v>
      </c>
      <c r="B254" s="6">
        <f t="shared" si="37"/>
        <v>0</v>
      </c>
      <c r="C254" s="2">
        <f t="shared" si="30"/>
        <v>29.01</v>
      </c>
      <c r="D254" s="6">
        <f t="shared" si="38"/>
        <v>0</v>
      </c>
      <c r="E254" s="2">
        <f t="shared" si="30"/>
        <v>14.505000000000001</v>
      </c>
      <c r="F254" s="6">
        <f t="shared" si="39"/>
        <v>0</v>
      </c>
      <c r="G254" s="2">
        <f t="shared" si="36"/>
        <v>7.2525000000000004</v>
      </c>
      <c r="H254" s="6">
        <f t="shared" si="33"/>
        <v>0</v>
      </c>
      <c r="I254" s="2">
        <f t="shared" si="30"/>
        <v>3.6262500000000002</v>
      </c>
      <c r="J254" s="6">
        <f t="shared" si="34"/>
        <v>2.541E-13</v>
      </c>
    </row>
    <row r="255" spans="1:10" x14ac:dyDescent="0.25">
      <c r="A255" s="2">
        <f t="shared" si="35"/>
        <v>58.27</v>
      </c>
      <c r="B255" s="6">
        <f t="shared" si="37"/>
        <v>0</v>
      </c>
      <c r="C255" s="2">
        <f t="shared" si="30"/>
        <v>29.135000000000002</v>
      </c>
      <c r="D255" s="6">
        <f t="shared" si="38"/>
        <v>0</v>
      </c>
      <c r="E255" s="2">
        <f t="shared" si="30"/>
        <v>14.567500000000001</v>
      </c>
      <c r="F255" s="6">
        <f t="shared" si="39"/>
        <v>0</v>
      </c>
      <c r="G255" s="2">
        <f t="shared" si="36"/>
        <v>7.2837500000000004</v>
      </c>
      <c r="H255" s="6">
        <f t="shared" si="33"/>
        <v>0</v>
      </c>
      <c r="I255" s="2">
        <f t="shared" si="30"/>
        <v>3.6418750000000002</v>
      </c>
      <c r="J255" s="6">
        <f t="shared" si="34"/>
        <v>2.1840000000000001E-13</v>
      </c>
    </row>
    <row r="256" spans="1:10" x14ac:dyDescent="0.25">
      <c r="A256" s="2">
        <f t="shared" si="35"/>
        <v>58.52</v>
      </c>
      <c r="B256" s="6">
        <f t="shared" si="37"/>
        <v>0</v>
      </c>
      <c r="C256" s="2">
        <f t="shared" si="30"/>
        <v>29.26</v>
      </c>
      <c r="D256" s="6">
        <f t="shared" si="38"/>
        <v>0</v>
      </c>
      <c r="E256" s="2">
        <f t="shared" si="30"/>
        <v>14.63</v>
      </c>
      <c r="F256" s="6">
        <f t="shared" si="39"/>
        <v>0</v>
      </c>
      <c r="G256" s="2">
        <f t="shared" si="36"/>
        <v>7.3150000000000004</v>
      </c>
      <c r="H256" s="6">
        <f t="shared" si="33"/>
        <v>0</v>
      </c>
      <c r="I256" s="2">
        <f t="shared" si="30"/>
        <v>3.6575000000000002</v>
      </c>
      <c r="J256" s="6">
        <f t="shared" si="34"/>
        <v>1.8779999999999999E-13</v>
      </c>
    </row>
    <row r="257" spans="1:10" x14ac:dyDescent="0.25">
      <c r="A257" s="2">
        <f t="shared" si="35"/>
        <v>58.77</v>
      </c>
      <c r="B257" s="6">
        <f t="shared" si="37"/>
        <v>0</v>
      </c>
      <c r="C257" s="2">
        <f t="shared" si="30"/>
        <v>29.385000000000002</v>
      </c>
      <c r="D257" s="6">
        <f t="shared" si="38"/>
        <v>0</v>
      </c>
      <c r="E257" s="2">
        <f t="shared" si="30"/>
        <v>14.692500000000001</v>
      </c>
      <c r="F257" s="6">
        <f t="shared" si="39"/>
        <v>0</v>
      </c>
      <c r="G257" s="2">
        <f t="shared" si="36"/>
        <v>7.3462500000000004</v>
      </c>
      <c r="H257" s="6">
        <f t="shared" si="33"/>
        <v>0</v>
      </c>
      <c r="I257" s="2">
        <f t="shared" si="30"/>
        <v>3.6731250000000002</v>
      </c>
      <c r="J257" s="6">
        <f t="shared" si="34"/>
        <v>1.614E-13</v>
      </c>
    </row>
    <row r="258" spans="1:10" x14ac:dyDescent="0.25">
      <c r="A258" s="2">
        <f t="shared" si="35"/>
        <v>59.02</v>
      </c>
      <c r="B258" s="6">
        <f t="shared" si="37"/>
        <v>0</v>
      </c>
      <c r="C258" s="2">
        <f t="shared" si="30"/>
        <v>29.51</v>
      </c>
      <c r="D258" s="6">
        <f t="shared" si="38"/>
        <v>0</v>
      </c>
      <c r="E258" s="2">
        <f t="shared" si="30"/>
        <v>14.755000000000001</v>
      </c>
      <c r="F258" s="6">
        <f t="shared" si="39"/>
        <v>0</v>
      </c>
      <c r="G258" s="2">
        <f t="shared" si="36"/>
        <v>7.3775000000000004</v>
      </c>
      <c r="H258" s="6">
        <f t="shared" si="33"/>
        <v>0</v>
      </c>
      <c r="I258" s="2">
        <f t="shared" si="30"/>
        <v>3.6887500000000002</v>
      </c>
      <c r="J258" s="6">
        <f t="shared" si="34"/>
        <v>1.388E-13</v>
      </c>
    </row>
    <row r="259" spans="1:10" x14ac:dyDescent="0.25">
      <c r="A259" s="2">
        <f t="shared" si="35"/>
        <v>59.27</v>
      </c>
      <c r="B259" s="6">
        <f t="shared" si="37"/>
        <v>0</v>
      </c>
      <c r="C259" s="2">
        <f t="shared" si="30"/>
        <v>29.635000000000002</v>
      </c>
      <c r="D259" s="6">
        <f t="shared" si="38"/>
        <v>0</v>
      </c>
      <c r="E259" s="2">
        <f t="shared" si="30"/>
        <v>14.817500000000001</v>
      </c>
      <c r="F259" s="6">
        <f t="shared" si="39"/>
        <v>0</v>
      </c>
      <c r="G259" s="2">
        <f t="shared" si="36"/>
        <v>7.4087500000000004</v>
      </c>
      <c r="H259" s="6">
        <f t="shared" si="33"/>
        <v>0</v>
      </c>
      <c r="I259" s="2">
        <f t="shared" si="30"/>
        <v>3.7043750000000002</v>
      </c>
      <c r="J259" s="6">
        <f t="shared" si="34"/>
        <v>1.194E-13</v>
      </c>
    </row>
    <row r="260" spans="1:10" x14ac:dyDescent="0.25">
      <c r="A260" s="2">
        <f t="shared" si="35"/>
        <v>59.52</v>
      </c>
      <c r="B260" s="6">
        <f t="shared" si="37"/>
        <v>0</v>
      </c>
      <c r="C260" s="2">
        <f t="shared" si="30"/>
        <v>29.76</v>
      </c>
      <c r="D260" s="6">
        <f t="shared" si="38"/>
        <v>0</v>
      </c>
      <c r="E260" s="2">
        <f t="shared" si="30"/>
        <v>14.88</v>
      </c>
      <c r="F260" s="6">
        <f t="shared" si="39"/>
        <v>0</v>
      </c>
      <c r="G260" s="2">
        <f t="shared" si="36"/>
        <v>7.44</v>
      </c>
      <c r="H260" s="6">
        <f t="shared" si="33"/>
        <v>0</v>
      </c>
      <c r="I260" s="2">
        <f t="shared" si="30"/>
        <v>3.72</v>
      </c>
      <c r="J260" s="6">
        <f t="shared" si="34"/>
        <v>1.028E-13</v>
      </c>
    </row>
    <row r="261" spans="1:10" x14ac:dyDescent="0.25">
      <c r="A261" s="2">
        <f t="shared" si="35"/>
        <v>59.77</v>
      </c>
      <c r="B261" s="6">
        <f t="shared" si="37"/>
        <v>0</v>
      </c>
      <c r="C261" s="2">
        <f t="shared" si="30"/>
        <v>29.885000000000002</v>
      </c>
      <c r="D261" s="6">
        <f t="shared" si="38"/>
        <v>0</v>
      </c>
      <c r="E261" s="2">
        <f t="shared" si="30"/>
        <v>14.942500000000001</v>
      </c>
      <c r="F261" s="6">
        <f t="shared" si="39"/>
        <v>0</v>
      </c>
      <c r="G261" s="2">
        <f t="shared" si="36"/>
        <v>7.4712500000000004</v>
      </c>
      <c r="H261" s="6">
        <f t="shared" si="33"/>
        <v>0</v>
      </c>
      <c r="I261" s="2">
        <f t="shared" si="30"/>
        <v>3.7356250000000002</v>
      </c>
      <c r="J261" s="6">
        <f t="shared" si="34"/>
        <v>8.8399999999999994E-14</v>
      </c>
    </row>
    <row r="262" spans="1:10" x14ac:dyDescent="0.25">
      <c r="A262" s="2">
        <f t="shared" si="35"/>
        <v>60.02</v>
      </c>
      <c r="B262" s="6">
        <f t="shared" si="37"/>
        <v>0</v>
      </c>
      <c r="C262" s="2">
        <f t="shared" si="30"/>
        <v>30.01</v>
      </c>
      <c r="D262" s="6">
        <f t="shared" si="38"/>
        <v>0</v>
      </c>
      <c r="E262" s="2">
        <f t="shared" si="30"/>
        <v>15.005000000000001</v>
      </c>
      <c r="F262" s="6">
        <f t="shared" si="39"/>
        <v>0</v>
      </c>
      <c r="G262" s="2">
        <f t="shared" si="36"/>
        <v>7.5025000000000004</v>
      </c>
      <c r="H262" s="6">
        <f t="shared" si="33"/>
        <v>0</v>
      </c>
      <c r="I262" s="2">
        <f t="shared" si="30"/>
        <v>3.7512500000000002</v>
      </c>
      <c r="J262" s="6">
        <f t="shared" si="34"/>
        <v>7.6099999999999999E-14</v>
      </c>
    </row>
    <row r="263" spans="1:10" x14ac:dyDescent="0.25">
      <c r="A263" s="2">
        <f t="shared" si="35"/>
        <v>60.27</v>
      </c>
      <c r="B263" s="6">
        <f t="shared" si="37"/>
        <v>0</v>
      </c>
      <c r="C263" s="2">
        <f t="shared" si="30"/>
        <v>30.135000000000002</v>
      </c>
      <c r="D263" s="6">
        <f t="shared" si="38"/>
        <v>0</v>
      </c>
      <c r="E263" s="2">
        <f t="shared" si="30"/>
        <v>15.067500000000001</v>
      </c>
      <c r="F263" s="6">
        <f t="shared" si="39"/>
        <v>0</v>
      </c>
      <c r="G263" s="2">
        <f t="shared" si="36"/>
        <v>7.5337500000000004</v>
      </c>
      <c r="H263" s="6">
        <f t="shared" si="33"/>
        <v>0</v>
      </c>
      <c r="I263" s="2">
        <f t="shared" si="30"/>
        <v>3.7668750000000002</v>
      </c>
      <c r="J263" s="6">
        <f t="shared" si="34"/>
        <v>6.5499999999999999E-14</v>
      </c>
    </row>
    <row r="264" spans="1:10" x14ac:dyDescent="0.25">
      <c r="A264" s="2">
        <f t="shared" si="35"/>
        <v>60.52</v>
      </c>
      <c r="B264" s="6">
        <f t="shared" si="37"/>
        <v>0</v>
      </c>
      <c r="C264" s="2">
        <f t="shared" si="30"/>
        <v>30.26</v>
      </c>
      <c r="D264" s="6">
        <f t="shared" si="38"/>
        <v>0</v>
      </c>
      <c r="E264" s="2">
        <f t="shared" si="30"/>
        <v>15.13</v>
      </c>
      <c r="F264" s="6">
        <f t="shared" si="39"/>
        <v>0</v>
      </c>
      <c r="G264" s="2">
        <f t="shared" si="36"/>
        <v>7.5650000000000004</v>
      </c>
      <c r="H264" s="6">
        <f t="shared" si="33"/>
        <v>0</v>
      </c>
      <c r="I264" s="2">
        <f t="shared" si="30"/>
        <v>3.7825000000000002</v>
      </c>
      <c r="J264" s="6">
        <f t="shared" si="34"/>
        <v>5.6399999999999998E-14</v>
      </c>
    </row>
    <row r="265" spans="1:10" x14ac:dyDescent="0.25">
      <c r="A265" s="2">
        <f t="shared" si="35"/>
        <v>60.77</v>
      </c>
      <c r="B265" s="6">
        <f t="shared" si="37"/>
        <v>0</v>
      </c>
      <c r="C265" s="2">
        <f t="shared" si="30"/>
        <v>30.385000000000002</v>
      </c>
      <c r="D265" s="6">
        <f t="shared" si="38"/>
        <v>0</v>
      </c>
      <c r="E265" s="2">
        <f t="shared" si="30"/>
        <v>15.192500000000001</v>
      </c>
      <c r="F265" s="6">
        <f t="shared" si="39"/>
        <v>0</v>
      </c>
      <c r="G265" s="2">
        <f t="shared" si="36"/>
        <v>7.5962500000000004</v>
      </c>
      <c r="H265" s="6">
        <f t="shared" si="33"/>
        <v>0</v>
      </c>
      <c r="I265" s="2">
        <f t="shared" ref="I265" si="40">I264+J$2</f>
        <v>3.7981250000000002</v>
      </c>
      <c r="J265" s="6">
        <f t="shared" si="34"/>
        <v>4.8600000000000002E-14</v>
      </c>
    </row>
    <row r="266" spans="1:10" x14ac:dyDescent="0.25">
      <c r="A266" s="2">
        <f t="shared" si="35"/>
        <v>61.02</v>
      </c>
      <c r="B266" s="6">
        <f t="shared" si="37"/>
        <v>0</v>
      </c>
      <c r="C266" s="2">
        <f t="shared" ref="C266:I291" si="41">C265+D$2</f>
        <v>30.51</v>
      </c>
      <c r="D266" s="6">
        <f t="shared" si="38"/>
        <v>0</v>
      </c>
      <c r="E266" s="2">
        <f t="shared" si="41"/>
        <v>15.255000000000001</v>
      </c>
      <c r="F266" s="6">
        <f t="shared" si="39"/>
        <v>0</v>
      </c>
      <c r="G266" s="2">
        <f t="shared" si="41"/>
        <v>7.6275000000000004</v>
      </c>
      <c r="H266" s="6">
        <f t="shared" ref="H266:H329" si="42">MIN(NORMSDIST((-LN(G266)+$B$1^2/2)/$B$1)-G266*NORMSDIST((-LN(G266)-$B$1^2/2)/$B$1),-NORMSDIST(-(-LN(G266)+$B$1^2/2)/$B$1)+G266*NORMSDIST(-(-LN(G266)-$B$1^2/2)/$B$1))/G266^2</f>
        <v>0</v>
      </c>
      <c r="I266" s="2">
        <f t="shared" si="41"/>
        <v>3.8137500000000002</v>
      </c>
      <c r="J266" s="6">
        <f t="shared" ref="J266:J329" si="43">MIN(NORMSDIST((-LN(I266)+$B$1^2/2)/$B$1)-I266*NORMSDIST((-LN(I266)-$B$1^2/2)/$B$1),-NORMSDIST(-(-LN(I266)+$B$1^2/2)/$B$1)+I266*NORMSDIST(-(-LN(I266)-$B$1^2/2)/$B$1))/I266^2</f>
        <v>4.1899999999999997E-14</v>
      </c>
    </row>
    <row r="267" spans="1:10" x14ac:dyDescent="0.25">
      <c r="A267" s="2">
        <f t="shared" ref="A267:A291" si="44">A266+B$2</f>
        <v>61.27</v>
      </c>
      <c r="B267" s="6">
        <f t="shared" si="37"/>
        <v>0</v>
      </c>
      <c r="C267" s="2">
        <f t="shared" si="41"/>
        <v>30.635000000000002</v>
      </c>
      <c r="D267" s="6">
        <f t="shared" si="38"/>
        <v>0</v>
      </c>
      <c r="E267" s="2">
        <f t="shared" si="41"/>
        <v>15.317500000000001</v>
      </c>
      <c r="F267" s="6">
        <f t="shared" si="39"/>
        <v>0</v>
      </c>
      <c r="G267" s="2">
        <f t="shared" si="41"/>
        <v>7.6587500000000004</v>
      </c>
      <c r="H267" s="6">
        <f t="shared" si="42"/>
        <v>0</v>
      </c>
      <c r="I267" s="2">
        <f t="shared" si="41"/>
        <v>3.8293750000000002</v>
      </c>
      <c r="J267" s="6">
        <f t="shared" si="43"/>
        <v>3.6099999999999999E-14</v>
      </c>
    </row>
    <row r="268" spans="1:10" x14ac:dyDescent="0.25">
      <c r="A268" s="2">
        <f t="shared" si="44"/>
        <v>61.52</v>
      </c>
      <c r="B268" s="6">
        <f t="shared" si="37"/>
        <v>0</v>
      </c>
      <c r="C268" s="2">
        <f t="shared" si="41"/>
        <v>30.76</v>
      </c>
      <c r="D268" s="6">
        <f t="shared" si="38"/>
        <v>0</v>
      </c>
      <c r="E268" s="2">
        <f t="shared" si="41"/>
        <v>15.38</v>
      </c>
      <c r="F268" s="6">
        <f t="shared" si="39"/>
        <v>0</v>
      </c>
      <c r="G268" s="2">
        <f t="shared" si="41"/>
        <v>7.69</v>
      </c>
      <c r="H268" s="6">
        <f t="shared" si="42"/>
        <v>0</v>
      </c>
      <c r="I268" s="2">
        <f t="shared" si="41"/>
        <v>3.8450000000000002</v>
      </c>
      <c r="J268" s="6">
        <f t="shared" si="43"/>
        <v>3.1100000000000001E-14</v>
      </c>
    </row>
    <row r="269" spans="1:10" x14ac:dyDescent="0.25">
      <c r="A269" s="2">
        <f t="shared" si="44"/>
        <v>61.77</v>
      </c>
      <c r="B269" s="6">
        <f t="shared" si="37"/>
        <v>0</v>
      </c>
      <c r="C269" s="2">
        <f t="shared" si="41"/>
        <v>30.885000000000002</v>
      </c>
      <c r="D269" s="6">
        <f t="shared" si="38"/>
        <v>0</v>
      </c>
      <c r="E269" s="2">
        <f t="shared" si="41"/>
        <v>15.442500000000001</v>
      </c>
      <c r="F269" s="6">
        <f t="shared" si="39"/>
        <v>0</v>
      </c>
      <c r="G269" s="2">
        <f t="shared" si="41"/>
        <v>7.7212500000000004</v>
      </c>
      <c r="H269" s="6">
        <f t="shared" si="42"/>
        <v>0</v>
      </c>
      <c r="I269" s="2">
        <f t="shared" si="41"/>
        <v>3.8606250000000002</v>
      </c>
      <c r="J269" s="6">
        <f t="shared" si="43"/>
        <v>2.68E-14</v>
      </c>
    </row>
    <row r="270" spans="1:10" x14ac:dyDescent="0.25">
      <c r="A270" s="2">
        <f t="shared" si="44"/>
        <v>62.02</v>
      </c>
      <c r="B270" s="6">
        <f t="shared" si="37"/>
        <v>0</v>
      </c>
      <c r="C270" s="2">
        <f t="shared" si="41"/>
        <v>31.01</v>
      </c>
      <c r="D270" s="6">
        <f t="shared" si="38"/>
        <v>0</v>
      </c>
      <c r="E270" s="2">
        <f t="shared" si="41"/>
        <v>15.505000000000001</v>
      </c>
      <c r="F270" s="6">
        <f t="shared" si="39"/>
        <v>0</v>
      </c>
      <c r="G270" s="2">
        <f t="shared" si="41"/>
        <v>7.7525000000000004</v>
      </c>
      <c r="H270" s="6">
        <f t="shared" si="42"/>
        <v>0</v>
      </c>
      <c r="I270" s="2">
        <f t="shared" si="41"/>
        <v>3.8762500000000002</v>
      </c>
      <c r="J270" s="6">
        <f t="shared" si="43"/>
        <v>2.3100000000000001E-14</v>
      </c>
    </row>
    <row r="271" spans="1:10" x14ac:dyDescent="0.25">
      <c r="A271" s="2">
        <f t="shared" si="44"/>
        <v>62.27</v>
      </c>
      <c r="B271" s="6">
        <f t="shared" si="37"/>
        <v>0</v>
      </c>
      <c r="C271" s="2">
        <f t="shared" si="41"/>
        <v>31.135000000000002</v>
      </c>
      <c r="D271" s="6">
        <f t="shared" si="38"/>
        <v>0</v>
      </c>
      <c r="E271" s="2">
        <f t="shared" si="41"/>
        <v>15.567500000000001</v>
      </c>
      <c r="F271" s="6">
        <f t="shared" si="39"/>
        <v>0</v>
      </c>
      <c r="G271" s="2">
        <f t="shared" si="41"/>
        <v>7.7837500000000004</v>
      </c>
      <c r="H271" s="6">
        <f t="shared" si="42"/>
        <v>0</v>
      </c>
      <c r="I271" s="2">
        <f t="shared" si="41"/>
        <v>3.8918750000000002</v>
      </c>
      <c r="J271" s="6">
        <f t="shared" si="43"/>
        <v>1.9899999999999999E-14</v>
      </c>
    </row>
    <row r="272" spans="1:10" x14ac:dyDescent="0.25">
      <c r="A272" s="2">
        <f t="shared" si="44"/>
        <v>62.52</v>
      </c>
      <c r="B272" s="6">
        <f t="shared" si="37"/>
        <v>0</v>
      </c>
      <c r="C272" s="2">
        <f t="shared" si="41"/>
        <v>31.26</v>
      </c>
      <c r="D272" s="6">
        <f t="shared" si="38"/>
        <v>0</v>
      </c>
      <c r="E272" s="2">
        <f t="shared" si="41"/>
        <v>15.63</v>
      </c>
      <c r="F272" s="6">
        <f t="shared" si="39"/>
        <v>0</v>
      </c>
      <c r="G272" s="2">
        <f t="shared" si="41"/>
        <v>7.8150000000000004</v>
      </c>
      <c r="H272" s="6">
        <f t="shared" si="42"/>
        <v>0</v>
      </c>
      <c r="I272" s="2">
        <f t="shared" si="41"/>
        <v>3.9075000000000002</v>
      </c>
      <c r="J272" s="6">
        <f t="shared" si="43"/>
        <v>1.7199999999999999E-14</v>
      </c>
    </row>
    <row r="273" spans="1:10" x14ac:dyDescent="0.25">
      <c r="A273" s="2">
        <f t="shared" si="44"/>
        <v>62.77</v>
      </c>
      <c r="B273" s="6">
        <f t="shared" si="37"/>
        <v>0</v>
      </c>
      <c r="C273" s="2">
        <f t="shared" si="41"/>
        <v>31.385000000000002</v>
      </c>
      <c r="D273" s="6">
        <f t="shared" si="38"/>
        <v>0</v>
      </c>
      <c r="E273" s="2">
        <f t="shared" si="41"/>
        <v>15.692500000000001</v>
      </c>
      <c r="F273" s="6">
        <f t="shared" si="39"/>
        <v>0</v>
      </c>
      <c r="G273" s="2">
        <f t="shared" si="41"/>
        <v>7.8462500000000004</v>
      </c>
      <c r="H273" s="6">
        <f t="shared" si="42"/>
        <v>0</v>
      </c>
      <c r="I273" s="2">
        <f t="shared" si="41"/>
        <v>3.9231250000000002</v>
      </c>
      <c r="J273" s="6">
        <f t="shared" si="43"/>
        <v>1.4800000000000001E-14</v>
      </c>
    </row>
    <row r="274" spans="1:10" x14ac:dyDescent="0.25">
      <c r="A274" s="2">
        <f t="shared" si="44"/>
        <v>63.02</v>
      </c>
      <c r="B274" s="6">
        <f t="shared" si="37"/>
        <v>0</v>
      </c>
      <c r="C274" s="2">
        <f t="shared" si="41"/>
        <v>31.51</v>
      </c>
      <c r="D274" s="6">
        <f t="shared" si="38"/>
        <v>0</v>
      </c>
      <c r="E274" s="2">
        <f t="shared" si="41"/>
        <v>15.755000000000001</v>
      </c>
      <c r="F274" s="6">
        <f t="shared" si="39"/>
        <v>0</v>
      </c>
      <c r="G274" s="2">
        <f t="shared" si="41"/>
        <v>7.8775000000000004</v>
      </c>
      <c r="H274" s="6">
        <f t="shared" si="42"/>
        <v>0</v>
      </c>
      <c r="I274" s="2">
        <f t="shared" si="41"/>
        <v>3.9387500000000002</v>
      </c>
      <c r="J274" s="6">
        <f t="shared" si="43"/>
        <v>1.28E-14</v>
      </c>
    </row>
    <row r="275" spans="1:10" x14ac:dyDescent="0.25">
      <c r="A275" s="2">
        <f t="shared" si="44"/>
        <v>63.27</v>
      </c>
      <c r="B275" s="6">
        <f t="shared" si="37"/>
        <v>0</v>
      </c>
      <c r="C275" s="2">
        <f t="shared" si="41"/>
        <v>31.635000000000002</v>
      </c>
      <c r="D275" s="6">
        <f t="shared" si="38"/>
        <v>0</v>
      </c>
      <c r="E275" s="2">
        <f t="shared" si="41"/>
        <v>15.817500000000001</v>
      </c>
      <c r="F275" s="6">
        <f t="shared" si="39"/>
        <v>0</v>
      </c>
      <c r="G275" s="2">
        <f t="shared" si="41"/>
        <v>7.9087500000000004</v>
      </c>
      <c r="H275" s="6">
        <f t="shared" si="42"/>
        <v>0</v>
      </c>
      <c r="I275" s="2">
        <f t="shared" si="41"/>
        <v>3.9543750000000002</v>
      </c>
      <c r="J275" s="6">
        <f t="shared" si="43"/>
        <v>1.1E-14</v>
      </c>
    </row>
    <row r="276" spans="1:10" x14ac:dyDescent="0.25">
      <c r="A276" s="2">
        <f t="shared" si="44"/>
        <v>63.52</v>
      </c>
      <c r="B276" s="6">
        <f t="shared" si="37"/>
        <v>0</v>
      </c>
      <c r="C276" s="2">
        <f t="shared" si="41"/>
        <v>31.76</v>
      </c>
      <c r="D276" s="6">
        <f t="shared" si="38"/>
        <v>0</v>
      </c>
      <c r="E276" s="2">
        <f t="shared" si="41"/>
        <v>15.88</v>
      </c>
      <c r="F276" s="6">
        <f t="shared" si="39"/>
        <v>0</v>
      </c>
      <c r="G276" s="2">
        <f t="shared" si="41"/>
        <v>7.94</v>
      </c>
      <c r="H276" s="6">
        <f t="shared" si="42"/>
        <v>0</v>
      </c>
      <c r="I276" s="2">
        <f t="shared" si="41"/>
        <v>3.97</v>
      </c>
      <c r="J276" s="6">
        <f t="shared" si="43"/>
        <v>9.5000000000000005E-15</v>
      </c>
    </row>
    <row r="277" spans="1:10" x14ac:dyDescent="0.25">
      <c r="A277" s="2">
        <f t="shared" si="44"/>
        <v>63.77</v>
      </c>
      <c r="B277" s="6">
        <f t="shared" si="37"/>
        <v>0</v>
      </c>
      <c r="C277" s="2">
        <f t="shared" si="41"/>
        <v>31.885000000000002</v>
      </c>
      <c r="D277" s="6">
        <f t="shared" si="38"/>
        <v>0</v>
      </c>
      <c r="E277" s="2">
        <f t="shared" si="41"/>
        <v>15.942500000000001</v>
      </c>
      <c r="F277" s="6">
        <f t="shared" si="39"/>
        <v>0</v>
      </c>
      <c r="G277" s="2">
        <f t="shared" si="41"/>
        <v>7.9712500000000004</v>
      </c>
      <c r="H277" s="6">
        <f t="shared" si="42"/>
        <v>0</v>
      </c>
      <c r="I277" s="2">
        <f t="shared" si="41"/>
        <v>3.9856250000000002</v>
      </c>
      <c r="J277" s="6">
        <f t="shared" si="43"/>
        <v>8.2000000000000007E-15</v>
      </c>
    </row>
    <row r="278" spans="1:10" x14ac:dyDescent="0.25">
      <c r="A278" s="2">
        <f t="shared" si="44"/>
        <v>64.02</v>
      </c>
      <c r="B278" s="6">
        <f t="shared" si="37"/>
        <v>0</v>
      </c>
      <c r="C278" s="2">
        <f t="shared" si="41"/>
        <v>32.01</v>
      </c>
      <c r="D278" s="6">
        <f t="shared" si="38"/>
        <v>0</v>
      </c>
      <c r="E278" s="2">
        <f t="shared" si="41"/>
        <v>16.004999999999999</v>
      </c>
      <c r="F278" s="6">
        <f t="shared" si="39"/>
        <v>0</v>
      </c>
      <c r="G278" s="2">
        <f t="shared" si="41"/>
        <v>8.0024999999999995</v>
      </c>
      <c r="H278" s="6">
        <f t="shared" si="42"/>
        <v>0</v>
      </c>
      <c r="I278" s="2">
        <f t="shared" si="41"/>
        <v>4.0012499999999998</v>
      </c>
      <c r="J278" s="6">
        <f t="shared" si="43"/>
        <v>7.1000000000000002E-15</v>
      </c>
    </row>
    <row r="279" spans="1:10" x14ac:dyDescent="0.25">
      <c r="A279" s="2">
        <f t="shared" si="44"/>
        <v>64.27</v>
      </c>
      <c r="B279" s="6">
        <f t="shared" si="37"/>
        <v>0</v>
      </c>
      <c r="C279" s="2">
        <f t="shared" si="41"/>
        <v>32.134999999999998</v>
      </c>
      <c r="D279" s="6">
        <f t="shared" si="38"/>
        <v>0</v>
      </c>
      <c r="E279" s="2">
        <f t="shared" si="41"/>
        <v>16.067499999999999</v>
      </c>
      <c r="F279" s="6">
        <f t="shared" si="39"/>
        <v>0</v>
      </c>
      <c r="G279" s="2">
        <f t="shared" si="41"/>
        <v>8.0337499999999995</v>
      </c>
      <c r="H279" s="6">
        <f t="shared" si="42"/>
        <v>0</v>
      </c>
      <c r="I279" s="2">
        <f t="shared" si="41"/>
        <v>4.0168749999999998</v>
      </c>
      <c r="J279" s="6">
        <f t="shared" si="43"/>
        <v>6.0999999999999997E-15</v>
      </c>
    </row>
    <row r="280" spans="1:10" x14ac:dyDescent="0.25">
      <c r="A280" s="2">
        <f t="shared" si="44"/>
        <v>64.52</v>
      </c>
      <c r="B280" s="6">
        <f t="shared" si="37"/>
        <v>0</v>
      </c>
      <c r="C280" s="2">
        <f t="shared" si="41"/>
        <v>32.26</v>
      </c>
      <c r="D280" s="6">
        <f t="shared" si="38"/>
        <v>0</v>
      </c>
      <c r="E280" s="2">
        <f t="shared" si="41"/>
        <v>16.13</v>
      </c>
      <c r="F280" s="6">
        <f t="shared" si="39"/>
        <v>0</v>
      </c>
      <c r="G280" s="2">
        <f t="shared" si="41"/>
        <v>8.0649999999999995</v>
      </c>
      <c r="H280" s="6">
        <f t="shared" si="42"/>
        <v>0</v>
      </c>
      <c r="I280" s="2">
        <f t="shared" si="41"/>
        <v>4.0324999999999998</v>
      </c>
      <c r="J280" s="6">
        <f t="shared" si="43"/>
        <v>5.3000000000000001E-15</v>
      </c>
    </row>
    <row r="281" spans="1:10" x14ac:dyDescent="0.25">
      <c r="A281" s="2">
        <f t="shared" si="44"/>
        <v>64.77</v>
      </c>
      <c r="B281" s="6">
        <f t="shared" si="37"/>
        <v>0</v>
      </c>
      <c r="C281" s="2">
        <f t="shared" si="41"/>
        <v>32.384999999999998</v>
      </c>
      <c r="D281" s="6">
        <f t="shared" si="38"/>
        <v>0</v>
      </c>
      <c r="E281" s="2">
        <f t="shared" si="41"/>
        <v>16.192499999999999</v>
      </c>
      <c r="F281" s="6">
        <f t="shared" si="39"/>
        <v>0</v>
      </c>
      <c r="G281" s="2">
        <f t="shared" si="41"/>
        <v>8.0962499999999995</v>
      </c>
      <c r="H281" s="6">
        <f t="shared" si="42"/>
        <v>0</v>
      </c>
      <c r="I281" s="2">
        <f t="shared" si="41"/>
        <v>4.0481249999999998</v>
      </c>
      <c r="J281" s="6">
        <f t="shared" si="43"/>
        <v>4.5999999999999998E-15</v>
      </c>
    </row>
    <row r="282" spans="1:10" x14ac:dyDescent="0.25">
      <c r="A282" s="2">
        <f t="shared" si="44"/>
        <v>65.02</v>
      </c>
      <c r="B282" s="6">
        <f t="shared" si="37"/>
        <v>0</v>
      </c>
      <c r="C282" s="2">
        <f t="shared" si="41"/>
        <v>32.51</v>
      </c>
      <c r="D282" s="6">
        <f t="shared" si="38"/>
        <v>0</v>
      </c>
      <c r="E282" s="2">
        <f t="shared" si="41"/>
        <v>16.254999999999999</v>
      </c>
      <c r="F282" s="6">
        <f t="shared" si="39"/>
        <v>0</v>
      </c>
      <c r="G282" s="2">
        <f t="shared" si="41"/>
        <v>8.1274999999999995</v>
      </c>
      <c r="H282" s="6">
        <f t="shared" si="42"/>
        <v>0</v>
      </c>
      <c r="I282" s="2">
        <f t="shared" si="41"/>
        <v>4.0637499999999998</v>
      </c>
      <c r="J282" s="6">
        <f t="shared" si="43"/>
        <v>4.0000000000000003E-15</v>
      </c>
    </row>
    <row r="283" spans="1:10" x14ac:dyDescent="0.25">
      <c r="A283" s="2">
        <f t="shared" si="44"/>
        <v>65.27</v>
      </c>
      <c r="B283" s="6">
        <f t="shared" si="37"/>
        <v>0</v>
      </c>
      <c r="C283" s="2">
        <f t="shared" si="41"/>
        <v>32.634999999999998</v>
      </c>
      <c r="D283" s="6">
        <f t="shared" si="38"/>
        <v>0</v>
      </c>
      <c r="E283" s="2">
        <f t="shared" si="41"/>
        <v>16.317499999999999</v>
      </c>
      <c r="F283" s="6">
        <f t="shared" si="39"/>
        <v>0</v>
      </c>
      <c r="G283" s="2">
        <f t="shared" si="41"/>
        <v>8.1587499999999995</v>
      </c>
      <c r="H283" s="6">
        <f t="shared" si="42"/>
        <v>0</v>
      </c>
      <c r="I283" s="2">
        <f t="shared" si="41"/>
        <v>4.0793749999999998</v>
      </c>
      <c r="J283" s="6">
        <f t="shared" si="43"/>
        <v>3.4E-15</v>
      </c>
    </row>
    <row r="284" spans="1:10" x14ac:dyDescent="0.25">
      <c r="A284" s="2">
        <f t="shared" si="44"/>
        <v>65.52</v>
      </c>
      <c r="B284" s="6">
        <f t="shared" si="37"/>
        <v>0</v>
      </c>
      <c r="C284" s="2">
        <f t="shared" si="41"/>
        <v>32.76</v>
      </c>
      <c r="D284" s="6">
        <f t="shared" si="38"/>
        <v>0</v>
      </c>
      <c r="E284" s="2">
        <f t="shared" si="41"/>
        <v>16.38</v>
      </c>
      <c r="F284" s="6">
        <f t="shared" si="39"/>
        <v>0</v>
      </c>
      <c r="G284" s="2">
        <f t="shared" si="41"/>
        <v>8.19</v>
      </c>
      <c r="H284" s="6">
        <f t="shared" si="42"/>
        <v>0</v>
      </c>
      <c r="I284" s="2">
        <f t="shared" si="41"/>
        <v>4.0949999999999998</v>
      </c>
      <c r="J284" s="6">
        <f t="shared" si="43"/>
        <v>2.9999999999999998E-15</v>
      </c>
    </row>
    <row r="285" spans="1:10" x14ac:dyDescent="0.25">
      <c r="A285" s="2">
        <f t="shared" si="44"/>
        <v>65.77</v>
      </c>
      <c r="B285" s="6">
        <f t="shared" si="37"/>
        <v>0</v>
      </c>
      <c r="C285" s="2">
        <f t="shared" si="41"/>
        <v>32.884999999999998</v>
      </c>
      <c r="D285" s="6">
        <f t="shared" si="38"/>
        <v>0</v>
      </c>
      <c r="E285" s="2">
        <f t="shared" si="41"/>
        <v>16.442499999999999</v>
      </c>
      <c r="F285" s="6">
        <f t="shared" si="39"/>
        <v>0</v>
      </c>
      <c r="G285" s="2">
        <f t="shared" si="41"/>
        <v>8.2212499999999995</v>
      </c>
      <c r="H285" s="6">
        <f t="shared" si="42"/>
        <v>0</v>
      </c>
      <c r="I285" s="2">
        <f t="shared" si="41"/>
        <v>4.1106249999999998</v>
      </c>
      <c r="J285" s="6">
        <f t="shared" si="43"/>
        <v>2.6E-15</v>
      </c>
    </row>
    <row r="286" spans="1:10" x14ac:dyDescent="0.25">
      <c r="A286" s="2">
        <f t="shared" si="44"/>
        <v>66.02</v>
      </c>
      <c r="B286" s="6">
        <f t="shared" si="37"/>
        <v>0</v>
      </c>
      <c r="C286" s="2">
        <f t="shared" si="41"/>
        <v>33.01</v>
      </c>
      <c r="D286" s="6">
        <f t="shared" si="38"/>
        <v>0</v>
      </c>
      <c r="E286" s="2">
        <f t="shared" si="41"/>
        <v>16.504999999999999</v>
      </c>
      <c r="F286" s="6">
        <f t="shared" si="39"/>
        <v>0</v>
      </c>
      <c r="G286" s="2">
        <f t="shared" si="41"/>
        <v>8.2524999999999995</v>
      </c>
      <c r="H286" s="6">
        <f t="shared" si="42"/>
        <v>0</v>
      </c>
      <c r="I286" s="2">
        <f t="shared" si="41"/>
        <v>4.1262499999999998</v>
      </c>
      <c r="J286" s="6">
        <f t="shared" si="43"/>
        <v>2.1999999999999999E-15</v>
      </c>
    </row>
    <row r="287" spans="1:10" x14ac:dyDescent="0.25">
      <c r="A287" s="2">
        <f t="shared" si="44"/>
        <v>66.27</v>
      </c>
      <c r="B287" s="6">
        <f t="shared" si="37"/>
        <v>0</v>
      </c>
      <c r="C287" s="2">
        <f t="shared" si="41"/>
        <v>33.134999999999998</v>
      </c>
      <c r="D287" s="6">
        <f t="shared" si="38"/>
        <v>0</v>
      </c>
      <c r="E287" s="2">
        <f t="shared" si="41"/>
        <v>16.567499999999999</v>
      </c>
      <c r="F287" s="6">
        <f t="shared" si="39"/>
        <v>0</v>
      </c>
      <c r="G287" s="2">
        <f t="shared" si="41"/>
        <v>8.2837499999999995</v>
      </c>
      <c r="H287" s="6">
        <f t="shared" si="42"/>
        <v>0</v>
      </c>
      <c r="I287" s="2">
        <f t="shared" si="41"/>
        <v>4.1418749999999998</v>
      </c>
      <c r="J287" s="6">
        <f t="shared" si="43"/>
        <v>1.9000000000000001E-15</v>
      </c>
    </row>
    <row r="288" spans="1:10" x14ac:dyDescent="0.25">
      <c r="A288" s="2">
        <f t="shared" si="44"/>
        <v>66.52</v>
      </c>
      <c r="B288" s="6">
        <f t="shared" si="37"/>
        <v>0</v>
      </c>
      <c r="C288" s="2">
        <f t="shared" si="41"/>
        <v>33.26</v>
      </c>
      <c r="D288" s="6">
        <f t="shared" si="38"/>
        <v>0</v>
      </c>
      <c r="E288" s="2">
        <f t="shared" si="41"/>
        <v>16.63</v>
      </c>
      <c r="F288" s="6">
        <f t="shared" si="39"/>
        <v>0</v>
      </c>
      <c r="G288" s="2">
        <f t="shared" si="41"/>
        <v>8.3149999999999995</v>
      </c>
      <c r="H288" s="6">
        <f t="shared" si="42"/>
        <v>0</v>
      </c>
      <c r="I288" s="2">
        <f t="shared" si="41"/>
        <v>4.1574999999999998</v>
      </c>
      <c r="J288" s="6">
        <f t="shared" si="43"/>
        <v>1.7E-15</v>
      </c>
    </row>
    <row r="289" spans="1:10" x14ac:dyDescent="0.25">
      <c r="A289" s="2">
        <f t="shared" si="44"/>
        <v>66.77</v>
      </c>
      <c r="B289" s="6">
        <f t="shared" si="37"/>
        <v>0</v>
      </c>
      <c r="C289" s="2">
        <f t="shared" si="41"/>
        <v>33.384999999999998</v>
      </c>
      <c r="D289" s="6">
        <f t="shared" si="38"/>
        <v>0</v>
      </c>
      <c r="E289" s="2">
        <f t="shared" si="41"/>
        <v>16.692499999999999</v>
      </c>
      <c r="F289" s="6">
        <f t="shared" si="39"/>
        <v>0</v>
      </c>
      <c r="G289" s="2">
        <f t="shared" si="41"/>
        <v>8.3462499999999995</v>
      </c>
      <c r="H289" s="6">
        <f t="shared" si="42"/>
        <v>0</v>
      </c>
      <c r="I289" s="2">
        <f t="shared" si="41"/>
        <v>4.1731249999999998</v>
      </c>
      <c r="J289" s="6">
        <f t="shared" si="43"/>
        <v>1.4000000000000001E-15</v>
      </c>
    </row>
    <row r="290" spans="1:10" x14ac:dyDescent="0.25">
      <c r="A290" s="2">
        <f t="shared" si="44"/>
        <v>67.02</v>
      </c>
      <c r="B290" s="6">
        <f t="shared" si="37"/>
        <v>0</v>
      </c>
      <c r="C290" s="2">
        <f t="shared" si="41"/>
        <v>33.51</v>
      </c>
      <c r="D290" s="6">
        <f t="shared" si="38"/>
        <v>0</v>
      </c>
      <c r="E290" s="2">
        <f t="shared" si="41"/>
        <v>16.754999999999999</v>
      </c>
      <c r="F290" s="6">
        <f t="shared" si="39"/>
        <v>0</v>
      </c>
      <c r="G290" s="2">
        <f t="shared" si="41"/>
        <v>8.3774999999999995</v>
      </c>
      <c r="H290" s="6">
        <f t="shared" si="42"/>
        <v>0</v>
      </c>
      <c r="I290" s="2">
        <f t="shared" si="41"/>
        <v>4.1887499999999998</v>
      </c>
      <c r="J290" s="6">
        <f t="shared" si="43"/>
        <v>1.2E-15</v>
      </c>
    </row>
    <row r="291" spans="1:10" x14ac:dyDescent="0.25">
      <c r="A291" s="2">
        <f t="shared" si="44"/>
        <v>67.27</v>
      </c>
      <c r="B291" s="6">
        <f t="shared" si="37"/>
        <v>0</v>
      </c>
      <c r="C291" s="2">
        <f t="shared" si="41"/>
        <v>33.634999999999998</v>
      </c>
      <c r="D291" s="6">
        <f t="shared" si="38"/>
        <v>0</v>
      </c>
      <c r="E291" s="2">
        <f t="shared" si="41"/>
        <v>16.817499999999999</v>
      </c>
      <c r="F291" s="6">
        <f t="shared" si="39"/>
        <v>0</v>
      </c>
      <c r="G291" s="2">
        <f t="shared" si="41"/>
        <v>8.4087499999999995</v>
      </c>
      <c r="H291" s="6">
        <f t="shared" si="42"/>
        <v>0</v>
      </c>
      <c r="I291" s="2">
        <f t="shared" si="41"/>
        <v>4.2043749999999998</v>
      </c>
      <c r="J291" s="6">
        <f t="shared" si="43"/>
        <v>1.0999999999999999E-15</v>
      </c>
    </row>
    <row r="292" spans="1:10" x14ac:dyDescent="0.25">
      <c r="A292" s="2">
        <f t="shared" ref="A292:A312" si="45">A291+B$2</f>
        <v>67.52</v>
      </c>
      <c r="B292" s="6">
        <f t="shared" ref="B292:B312" si="46">MIN(NORMSDIST((-LN(A292)+$B$1^2/2)/$B$1)-A292*NORMSDIST((-LN(A292)-$B$1^2/2)/$B$1),-NORMSDIST(-(-LN(A292)+$B$1^2/2)/$B$1)+A292*NORMSDIST(-(-LN(A292)-$B$1^2/2)/$B$1))/A292^2</f>
        <v>0</v>
      </c>
      <c r="C292" s="2">
        <f t="shared" ref="C292:I312" si="47">C291+D$2</f>
        <v>33.76</v>
      </c>
      <c r="D292" s="6">
        <f t="shared" ref="D292:D312" si="48">MIN(NORMSDIST((-LN(C292)+$B$1^2/2)/$B$1)-C292*NORMSDIST((-LN(C292)-$B$1^2/2)/$B$1),-NORMSDIST(-(-LN(C292)+$B$1^2/2)/$B$1)+C292*NORMSDIST(-(-LN(C292)-$B$1^2/2)/$B$1))/C292^2</f>
        <v>0</v>
      </c>
      <c r="E292" s="2">
        <f t="shared" si="47"/>
        <v>16.88</v>
      </c>
      <c r="F292" s="6">
        <f t="shared" ref="F292:F312" si="49">MIN(NORMSDIST((-LN(E292)+$B$1^2/2)/$B$1)-E292*NORMSDIST((-LN(E292)-$B$1^2/2)/$B$1),-NORMSDIST(-(-LN(E292)+$B$1^2/2)/$B$1)+E292*NORMSDIST(-(-LN(E292)-$B$1^2/2)/$B$1))/E292^2</f>
        <v>0</v>
      </c>
      <c r="G292" s="2">
        <f t="shared" si="47"/>
        <v>8.44</v>
      </c>
      <c r="H292" s="6">
        <f t="shared" si="42"/>
        <v>0</v>
      </c>
      <c r="I292" s="2">
        <f t="shared" si="47"/>
        <v>4.22</v>
      </c>
      <c r="J292" s="6">
        <f t="shared" si="43"/>
        <v>9.0000000000000003E-16</v>
      </c>
    </row>
    <row r="293" spans="1:10" x14ac:dyDescent="0.25">
      <c r="A293" s="2">
        <f t="shared" si="45"/>
        <v>67.77</v>
      </c>
      <c r="B293" s="6">
        <f t="shared" si="46"/>
        <v>0</v>
      </c>
      <c r="C293" s="2">
        <f t="shared" si="47"/>
        <v>33.884999999999998</v>
      </c>
      <c r="D293" s="6">
        <f t="shared" si="48"/>
        <v>0</v>
      </c>
      <c r="E293" s="2">
        <f t="shared" si="47"/>
        <v>16.942499999999999</v>
      </c>
      <c r="F293" s="6">
        <f t="shared" si="49"/>
        <v>0</v>
      </c>
      <c r="G293" s="2">
        <f t="shared" si="47"/>
        <v>8.4712499999999995</v>
      </c>
      <c r="H293" s="6">
        <f t="shared" si="42"/>
        <v>0</v>
      </c>
      <c r="I293" s="2">
        <f t="shared" si="47"/>
        <v>4.2356249999999998</v>
      </c>
      <c r="J293" s="6">
        <f t="shared" si="43"/>
        <v>7.9999999999999998E-16</v>
      </c>
    </row>
    <row r="294" spans="1:10" x14ac:dyDescent="0.25">
      <c r="A294" s="2">
        <f t="shared" si="45"/>
        <v>68.02</v>
      </c>
      <c r="B294" s="6">
        <f t="shared" si="46"/>
        <v>0</v>
      </c>
      <c r="C294" s="2">
        <f t="shared" si="47"/>
        <v>34.01</v>
      </c>
      <c r="D294" s="6">
        <f t="shared" si="48"/>
        <v>0</v>
      </c>
      <c r="E294" s="2">
        <f t="shared" si="47"/>
        <v>17.004999999999999</v>
      </c>
      <c r="F294" s="6">
        <f t="shared" si="49"/>
        <v>0</v>
      </c>
      <c r="G294" s="2">
        <f t="shared" si="47"/>
        <v>8.5024999999999995</v>
      </c>
      <c r="H294" s="6">
        <f t="shared" si="42"/>
        <v>0</v>
      </c>
      <c r="I294" s="2">
        <f t="shared" si="47"/>
        <v>4.2512499999999998</v>
      </c>
      <c r="J294" s="6">
        <f t="shared" si="43"/>
        <v>7.0000000000000003E-16</v>
      </c>
    </row>
    <row r="295" spans="1:10" x14ac:dyDescent="0.25">
      <c r="A295" s="2">
        <f t="shared" si="45"/>
        <v>68.27</v>
      </c>
      <c r="B295" s="6">
        <f t="shared" si="46"/>
        <v>0</v>
      </c>
      <c r="C295" s="2">
        <f t="shared" si="47"/>
        <v>34.134999999999998</v>
      </c>
      <c r="D295" s="6">
        <f t="shared" si="48"/>
        <v>0</v>
      </c>
      <c r="E295" s="2">
        <f t="shared" si="47"/>
        <v>17.067499999999999</v>
      </c>
      <c r="F295" s="6">
        <f t="shared" si="49"/>
        <v>0</v>
      </c>
      <c r="G295" s="2">
        <f t="shared" si="47"/>
        <v>8.5337499999999995</v>
      </c>
      <c r="H295" s="6">
        <f t="shared" si="42"/>
        <v>0</v>
      </c>
      <c r="I295" s="2">
        <f t="shared" si="47"/>
        <v>4.2668749999999998</v>
      </c>
      <c r="J295" s="6">
        <f t="shared" si="43"/>
        <v>5.9999999999999999E-16</v>
      </c>
    </row>
    <row r="296" spans="1:10" x14ac:dyDescent="0.25">
      <c r="A296" s="2">
        <f t="shared" si="45"/>
        <v>68.52</v>
      </c>
      <c r="B296" s="6">
        <f t="shared" si="46"/>
        <v>0</v>
      </c>
      <c r="C296" s="2">
        <f t="shared" si="47"/>
        <v>34.26</v>
      </c>
      <c r="D296" s="6">
        <f t="shared" si="48"/>
        <v>0</v>
      </c>
      <c r="E296" s="2">
        <f t="shared" si="47"/>
        <v>17.13</v>
      </c>
      <c r="F296" s="6">
        <f t="shared" si="49"/>
        <v>0</v>
      </c>
      <c r="G296" s="2">
        <f t="shared" si="47"/>
        <v>8.5649999999999995</v>
      </c>
      <c r="H296" s="6">
        <f t="shared" si="42"/>
        <v>0</v>
      </c>
      <c r="I296" s="2">
        <f t="shared" si="47"/>
        <v>4.2824999999999998</v>
      </c>
      <c r="J296" s="6">
        <f t="shared" si="43"/>
        <v>5.0000000000000004E-16</v>
      </c>
    </row>
    <row r="297" spans="1:10" x14ac:dyDescent="0.25">
      <c r="A297" s="2">
        <f t="shared" si="45"/>
        <v>68.77</v>
      </c>
      <c r="B297" s="6">
        <f t="shared" si="46"/>
        <v>0</v>
      </c>
      <c r="C297" s="2">
        <f t="shared" si="47"/>
        <v>34.384999999999998</v>
      </c>
      <c r="D297" s="6">
        <f t="shared" si="48"/>
        <v>0</v>
      </c>
      <c r="E297" s="2">
        <f t="shared" si="47"/>
        <v>17.192499999999999</v>
      </c>
      <c r="F297" s="6">
        <f t="shared" si="49"/>
        <v>0</v>
      </c>
      <c r="G297" s="2">
        <f t="shared" si="47"/>
        <v>8.5962499999999995</v>
      </c>
      <c r="H297" s="6">
        <f t="shared" si="42"/>
        <v>0</v>
      </c>
      <c r="I297" s="2">
        <f t="shared" si="47"/>
        <v>4.2981249999999998</v>
      </c>
      <c r="J297" s="6">
        <f t="shared" si="43"/>
        <v>5.0000000000000004E-16</v>
      </c>
    </row>
    <row r="298" spans="1:10" x14ac:dyDescent="0.25">
      <c r="A298" s="2">
        <f t="shared" si="45"/>
        <v>69.02</v>
      </c>
      <c r="B298" s="6">
        <f t="shared" si="46"/>
        <v>0</v>
      </c>
      <c r="C298" s="2">
        <f t="shared" si="47"/>
        <v>34.51</v>
      </c>
      <c r="D298" s="6">
        <f t="shared" si="48"/>
        <v>0</v>
      </c>
      <c r="E298" s="2">
        <f t="shared" si="47"/>
        <v>17.254999999999999</v>
      </c>
      <c r="F298" s="6">
        <f t="shared" si="49"/>
        <v>0</v>
      </c>
      <c r="G298" s="2">
        <f t="shared" si="47"/>
        <v>8.6274999999999995</v>
      </c>
      <c r="H298" s="6">
        <f t="shared" si="42"/>
        <v>0</v>
      </c>
      <c r="I298" s="2">
        <f t="shared" si="47"/>
        <v>4.3137499999999998</v>
      </c>
      <c r="J298" s="6">
        <f t="shared" si="43"/>
        <v>3.9999999999999999E-16</v>
      </c>
    </row>
    <row r="299" spans="1:10" x14ac:dyDescent="0.25">
      <c r="A299" s="2">
        <f t="shared" si="45"/>
        <v>69.27</v>
      </c>
      <c r="B299" s="6">
        <f t="shared" si="46"/>
        <v>0</v>
      </c>
      <c r="C299" s="2">
        <f t="shared" si="47"/>
        <v>34.634999999999998</v>
      </c>
      <c r="D299" s="6">
        <f t="shared" si="48"/>
        <v>0</v>
      </c>
      <c r="E299" s="2">
        <f t="shared" si="47"/>
        <v>17.317499999999999</v>
      </c>
      <c r="F299" s="6">
        <f t="shared" si="49"/>
        <v>0</v>
      </c>
      <c r="G299" s="2">
        <f t="shared" si="47"/>
        <v>8.6587499999999995</v>
      </c>
      <c r="H299" s="6">
        <f t="shared" si="42"/>
        <v>0</v>
      </c>
      <c r="I299" s="2">
        <f t="shared" si="47"/>
        <v>4.3293749999999998</v>
      </c>
      <c r="J299" s="6">
        <f t="shared" si="43"/>
        <v>2.9999999999999999E-16</v>
      </c>
    </row>
    <row r="300" spans="1:10" x14ac:dyDescent="0.25">
      <c r="A300" s="2">
        <f t="shared" si="45"/>
        <v>69.52</v>
      </c>
      <c r="B300" s="6">
        <f t="shared" si="46"/>
        <v>0</v>
      </c>
      <c r="C300" s="2">
        <f t="shared" si="47"/>
        <v>34.76</v>
      </c>
      <c r="D300" s="6">
        <f t="shared" si="48"/>
        <v>0</v>
      </c>
      <c r="E300" s="2">
        <f t="shared" si="47"/>
        <v>17.38</v>
      </c>
      <c r="F300" s="6">
        <f t="shared" si="49"/>
        <v>0</v>
      </c>
      <c r="G300" s="2">
        <f t="shared" si="47"/>
        <v>8.69</v>
      </c>
      <c r="H300" s="6">
        <f t="shared" si="42"/>
        <v>0</v>
      </c>
      <c r="I300" s="2">
        <f t="shared" si="47"/>
        <v>4.3449999999999998</v>
      </c>
      <c r="J300" s="6">
        <f t="shared" si="43"/>
        <v>2.9999999999999999E-16</v>
      </c>
    </row>
    <row r="301" spans="1:10" x14ac:dyDescent="0.25">
      <c r="A301" s="2">
        <f t="shared" si="45"/>
        <v>69.77</v>
      </c>
      <c r="B301" s="6">
        <f t="shared" si="46"/>
        <v>0</v>
      </c>
      <c r="C301" s="2">
        <f t="shared" si="47"/>
        <v>34.884999999999998</v>
      </c>
      <c r="D301" s="6">
        <f t="shared" si="48"/>
        <v>0</v>
      </c>
      <c r="E301" s="2">
        <f t="shared" si="47"/>
        <v>17.442499999999999</v>
      </c>
      <c r="F301" s="6">
        <f t="shared" si="49"/>
        <v>0</v>
      </c>
      <c r="G301" s="2">
        <f t="shared" si="47"/>
        <v>8.7212499999999995</v>
      </c>
      <c r="H301" s="6">
        <f t="shared" si="42"/>
        <v>0</v>
      </c>
      <c r="I301" s="2">
        <f t="shared" si="47"/>
        <v>4.3606249999999998</v>
      </c>
      <c r="J301" s="6">
        <f t="shared" si="43"/>
        <v>2.9999999999999999E-16</v>
      </c>
    </row>
    <row r="302" spans="1:10" x14ac:dyDescent="0.25">
      <c r="A302" s="2">
        <f t="shared" si="45"/>
        <v>70.02</v>
      </c>
      <c r="B302" s="6">
        <f t="shared" si="46"/>
        <v>0</v>
      </c>
      <c r="C302" s="2">
        <f t="shared" si="47"/>
        <v>35.01</v>
      </c>
      <c r="D302" s="6">
        <f t="shared" si="48"/>
        <v>0</v>
      </c>
      <c r="E302" s="2">
        <f t="shared" si="47"/>
        <v>17.504999999999999</v>
      </c>
      <c r="F302" s="6">
        <f t="shared" si="49"/>
        <v>0</v>
      </c>
      <c r="G302" s="2">
        <f t="shared" si="47"/>
        <v>8.7524999999999995</v>
      </c>
      <c r="H302" s="6">
        <f t="shared" si="42"/>
        <v>0</v>
      </c>
      <c r="I302" s="2">
        <f t="shared" si="47"/>
        <v>4.3762499999999998</v>
      </c>
      <c r="J302" s="6">
        <f t="shared" si="43"/>
        <v>2E-16</v>
      </c>
    </row>
    <row r="303" spans="1:10" x14ac:dyDescent="0.25">
      <c r="A303" s="2">
        <f t="shared" si="45"/>
        <v>70.27</v>
      </c>
      <c r="B303" s="6">
        <f t="shared" si="46"/>
        <v>0</v>
      </c>
      <c r="C303" s="2">
        <f t="shared" si="47"/>
        <v>35.134999999999998</v>
      </c>
      <c r="D303" s="6">
        <f t="shared" si="48"/>
        <v>0</v>
      </c>
      <c r="E303" s="2">
        <f t="shared" si="47"/>
        <v>17.567499999999999</v>
      </c>
      <c r="F303" s="6">
        <f t="shared" si="49"/>
        <v>0</v>
      </c>
      <c r="G303" s="2">
        <f t="shared" si="47"/>
        <v>8.7837499999999995</v>
      </c>
      <c r="H303" s="6">
        <f t="shared" si="42"/>
        <v>0</v>
      </c>
      <c r="I303" s="2">
        <f t="shared" si="47"/>
        <v>4.3918749999999998</v>
      </c>
      <c r="J303" s="6">
        <f t="shared" si="43"/>
        <v>2E-16</v>
      </c>
    </row>
    <row r="304" spans="1:10" x14ac:dyDescent="0.25">
      <c r="A304" s="2">
        <f t="shared" si="45"/>
        <v>70.52</v>
      </c>
      <c r="B304" s="6">
        <f t="shared" si="46"/>
        <v>0</v>
      </c>
      <c r="C304" s="2">
        <f t="shared" si="47"/>
        <v>35.26</v>
      </c>
      <c r="D304" s="6">
        <f t="shared" si="48"/>
        <v>0</v>
      </c>
      <c r="E304" s="2">
        <f t="shared" si="47"/>
        <v>17.63</v>
      </c>
      <c r="F304" s="6">
        <f t="shared" si="49"/>
        <v>0</v>
      </c>
      <c r="G304" s="2">
        <f t="shared" si="47"/>
        <v>8.8149999999999995</v>
      </c>
      <c r="H304" s="6">
        <f t="shared" si="42"/>
        <v>0</v>
      </c>
      <c r="I304" s="2">
        <f t="shared" si="47"/>
        <v>4.4074999999999998</v>
      </c>
      <c r="J304" s="6">
        <f t="shared" si="43"/>
        <v>2E-16</v>
      </c>
    </row>
    <row r="305" spans="1:10" x14ac:dyDescent="0.25">
      <c r="A305" s="2">
        <f t="shared" si="45"/>
        <v>70.77</v>
      </c>
      <c r="B305" s="6">
        <f t="shared" si="46"/>
        <v>0</v>
      </c>
      <c r="C305" s="2">
        <f t="shared" si="47"/>
        <v>35.384999999999998</v>
      </c>
      <c r="D305" s="6">
        <f t="shared" si="48"/>
        <v>0</v>
      </c>
      <c r="E305" s="2">
        <f t="shared" si="47"/>
        <v>17.692499999999999</v>
      </c>
      <c r="F305" s="6">
        <f t="shared" si="49"/>
        <v>0</v>
      </c>
      <c r="G305" s="2">
        <f t="shared" si="47"/>
        <v>8.8462499999999995</v>
      </c>
      <c r="H305" s="6">
        <f t="shared" si="42"/>
        <v>0</v>
      </c>
      <c r="I305" s="2">
        <f t="shared" si="47"/>
        <v>4.4231249999999998</v>
      </c>
      <c r="J305" s="6">
        <f t="shared" si="43"/>
        <v>9.9999999999999998E-17</v>
      </c>
    </row>
    <row r="306" spans="1:10" x14ac:dyDescent="0.25">
      <c r="A306" s="2">
        <f t="shared" si="45"/>
        <v>71.02</v>
      </c>
      <c r="B306" s="6">
        <f t="shared" si="46"/>
        <v>0</v>
      </c>
      <c r="C306" s="2">
        <f t="shared" si="47"/>
        <v>35.51</v>
      </c>
      <c r="D306" s="6">
        <f t="shared" si="48"/>
        <v>0</v>
      </c>
      <c r="E306" s="2">
        <f t="shared" si="47"/>
        <v>17.754999999999999</v>
      </c>
      <c r="F306" s="6">
        <f t="shared" si="49"/>
        <v>0</v>
      </c>
      <c r="G306" s="2">
        <f t="shared" si="47"/>
        <v>8.8774999999999995</v>
      </c>
      <c r="H306" s="6">
        <f t="shared" si="42"/>
        <v>0</v>
      </c>
      <c r="I306" s="2">
        <f t="shared" si="47"/>
        <v>4.4387499999999998</v>
      </c>
      <c r="J306" s="6">
        <f t="shared" si="43"/>
        <v>9.9999999999999998E-17</v>
      </c>
    </row>
    <row r="307" spans="1:10" x14ac:dyDescent="0.25">
      <c r="A307" s="2">
        <f t="shared" si="45"/>
        <v>71.27</v>
      </c>
      <c r="B307" s="6">
        <f t="shared" si="46"/>
        <v>0</v>
      </c>
      <c r="C307" s="2">
        <f t="shared" si="47"/>
        <v>35.634999999999998</v>
      </c>
      <c r="D307" s="6">
        <f t="shared" si="48"/>
        <v>0</v>
      </c>
      <c r="E307" s="2">
        <f t="shared" si="47"/>
        <v>17.817499999999999</v>
      </c>
      <c r="F307" s="6">
        <f t="shared" si="49"/>
        <v>0</v>
      </c>
      <c r="G307" s="2">
        <f t="shared" si="47"/>
        <v>8.9087499999999995</v>
      </c>
      <c r="H307" s="6">
        <f t="shared" si="42"/>
        <v>0</v>
      </c>
      <c r="I307" s="2">
        <f t="shared" si="47"/>
        <v>4.4543749999999998</v>
      </c>
      <c r="J307" s="6">
        <f t="shared" si="43"/>
        <v>9.9999999999999998E-17</v>
      </c>
    </row>
    <row r="308" spans="1:10" x14ac:dyDescent="0.25">
      <c r="A308" s="2">
        <f t="shared" si="45"/>
        <v>71.52</v>
      </c>
      <c r="B308" s="6">
        <f t="shared" si="46"/>
        <v>0</v>
      </c>
      <c r="C308" s="2">
        <f t="shared" si="47"/>
        <v>35.76</v>
      </c>
      <c r="D308" s="6">
        <f t="shared" si="48"/>
        <v>0</v>
      </c>
      <c r="E308" s="2">
        <f t="shared" si="47"/>
        <v>17.88</v>
      </c>
      <c r="F308" s="6">
        <f t="shared" si="49"/>
        <v>0</v>
      </c>
      <c r="G308" s="2">
        <f t="shared" si="47"/>
        <v>8.94</v>
      </c>
      <c r="H308" s="6">
        <f t="shared" si="42"/>
        <v>0</v>
      </c>
      <c r="I308" s="2">
        <f t="shared" si="47"/>
        <v>4.47</v>
      </c>
      <c r="J308" s="6">
        <f t="shared" si="43"/>
        <v>9.9999999999999998E-17</v>
      </c>
    </row>
    <row r="309" spans="1:10" x14ac:dyDescent="0.25">
      <c r="A309" s="2">
        <f t="shared" si="45"/>
        <v>71.77</v>
      </c>
      <c r="B309" s="6">
        <f t="shared" si="46"/>
        <v>0</v>
      </c>
      <c r="C309" s="2">
        <f t="shared" si="47"/>
        <v>35.884999999999998</v>
      </c>
      <c r="D309" s="6">
        <f t="shared" si="48"/>
        <v>0</v>
      </c>
      <c r="E309" s="2">
        <f t="shared" si="47"/>
        <v>17.942499999999999</v>
      </c>
      <c r="F309" s="6">
        <f t="shared" si="49"/>
        <v>0</v>
      </c>
      <c r="G309" s="2">
        <f t="shared" si="47"/>
        <v>8.9712499999999995</v>
      </c>
      <c r="H309" s="6">
        <f t="shared" si="42"/>
        <v>0</v>
      </c>
      <c r="I309" s="2">
        <f t="shared" si="47"/>
        <v>4.4856249999999998</v>
      </c>
      <c r="J309" s="6">
        <f t="shared" si="43"/>
        <v>9.9999999999999998E-17</v>
      </c>
    </row>
    <row r="310" spans="1:10" x14ac:dyDescent="0.25">
      <c r="A310" s="2">
        <f t="shared" si="45"/>
        <v>72.02</v>
      </c>
      <c r="B310" s="6">
        <f t="shared" si="46"/>
        <v>0</v>
      </c>
      <c r="C310" s="2">
        <f t="shared" si="47"/>
        <v>36.01</v>
      </c>
      <c r="D310" s="6">
        <f t="shared" si="48"/>
        <v>0</v>
      </c>
      <c r="E310" s="2">
        <f t="shared" si="47"/>
        <v>18.004999999999999</v>
      </c>
      <c r="F310" s="6">
        <f t="shared" si="49"/>
        <v>0</v>
      </c>
      <c r="G310" s="2">
        <f t="shared" si="47"/>
        <v>9.0024999999999995</v>
      </c>
      <c r="H310" s="6">
        <f t="shared" si="42"/>
        <v>0</v>
      </c>
      <c r="I310" s="2">
        <f t="shared" si="47"/>
        <v>4.5012499999999998</v>
      </c>
      <c r="J310" s="6">
        <f t="shared" si="43"/>
        <v>9.9999999999999998E-17</v>
      </c>
    </row>
    <row r="311" spans="1:10" x14ac:dyDescent="0.25">
      <c r="A311" s="2">
        <f t="shared" si="45"/>
        <v>72.27</v>
      </c>
      <c r="B311" s="6">
        <f t="shared" si="46"/>
        <v>0</v>
      </c>
      <c r="C311" s="2">
        <f t="shared" si="47"/>
        <v>36.134999999999998</v>
      </c>
      <c r="D311" s="6">
        <f t="shared" si="48"/>
        <v>0</v>
      </c>
      <c r="E311" s="2">
        <f t="shared" si="47"/>
        <v>18.067499999999999</v>
      </c>
      <c r="F311" s="6">
        <f t="shared" si="49"/>
        <v>0</v>
      </c>
      <c r="G311" s="2">
        <f t="shared" si="47"/>
        <v>9.0337499999999995</v>
      </c>
      <c r="H311" s="6">
        <f t="shared" si="42"/>
        <v>0</v>
      </c>
      <c r="I311" s="2">
        <f t="shared" si="47"/>
        <v>4.5168749999999998</v>
      </c>
      <c r="J311" s="6">
        <f t="shared" si="43"/>
        <v>9.9999999999999998E-17</v>
      </c>
    </row>
    <row r="312" spans="1:10" x14ac:dyDescent="0.25">
      <c r="A312" s="2">
        <f t="shared" si="45"/>
        <v>72.52</v>
      </c>
      <c r="B312" s="6">
        <f t="shared" si="46"/>
        <v>0</v>
      </c>
      <c r="C312" s="2">
        <f t="shared" si="47"/>
        <v>36.26</v>
      </c>
      <c r="D312" s="6">
        <f t="shared" si="48"/>
        <v>0</v>
      </c>
      <c r="E312" s="2">
        <f t="shared" si="47"/>
        <v>18.13</v>
      </c>
      <c r="F312" s="6">
        <f t="shared" si="49"/>
        <v>0</v>
      </c>
      <c r="G312" s="2">
        <f t="shared" si="47"/>
        <v>9.0649999999999995</v>
      </c>
      <c r="H312" s="6">
        <f t="shared" si="42"/>
        <v>0</v>
      </c>
      <c r="I312" s="2">
        <f t="shared" si="47"/>
        <v>4.5324999999999998</v>
      </c>
      <c r="J312" s="6">
        <f t="shared" si="43"/>
        <v>9.9999999999999998E-17</v>
      </c>
    </row>
    <row r="313" spans="1:10" x14ac:dyDescent="0.25">
      <c r="A313" s="2">
        <f t="shared" ref="A313:A347" si="50">A312+B$2</f>
        <v>72.77</v>
      </c>
      <c r="B313" s="6">
        <f t="shared" ref="B313:B347" si="51">MIN(NORMSDIST((-LN(A313)+$B$1^2/2)/$B$1)-A313*NORMSDIST((-LN(A313)-$B$1^2/2)/$B$1),-NORMSDIST(-(-LN(A313)+$B$1^2/2)/$B$1)+A313*NORMSDIST(-(-LN(A313)-$B$1^2/2)/$B$1))/A313^2</f>
        <v>0</v>
      </c>
      <c r="C313" s="2">
        <f t="shared" ref="C313:I347" si="52">C312+D$2</f>
        <v>36.384999999999998</v>
      </c>
      <c r="D313" s="6">
        <f t="shared" ref="D313:D347" si="53">MIN(NORMSDIST((-LN(C313)+$B$1^2/2)/$B$1)-C313*NORMSDIST((-LN(C313)-$B$1^2/2)/$B$1),-NORMSDIST(-(-LN(C313)+$B$1^2/2)/$B$1)+C313*NORMSDIST(-(-LN(C313)-$B$1^2/2)/$B$1))/C313^2</f>
        <v>0</v>
      </c>
      <c r="E313" s="2">
        <f t="shared" si="52"/>
        <v>18.192499999999999</v>
      </c>
      <c r="F313" s="6">
        <f t="shared" ref="F313:F347" si="54">MIN(NORMSDIST((-LN(E313)+$B$1^2/2)/$B$1)-E313*NORMSDIST((-LN(E313)-$B$1^2/2)/$B$1),-NORMSDIST(-(-LN(E313)+$B$1^2/2)/$B$1)+E313*NORMSDIST(-(-LN(E313)-$B$1^2/2)/$B$1))/E313^2</f>
        <v>0</v>
      </c>
      <c r="G313" s="2">
        <f t="shared" si="52"/>
        <v>9.0962499999999995</v>
      </c>
      <c r="H313" s="6">
        <f t="shared" si="42"/>
        <v>0</v>
      </c>
      <c r="I313" s="2">
        <f t="shared" si="52"/>
        <v>4.5481249999999998</v>
      </c>
      <c r="J313" s="6">
        <f t="shared" si="43"/>
        <v>0</v>
      </c>
    </row>
    <row r="314" spans="1:10" x14ac:dyDescent="0.25">
      <c r="A314" s="2">
        <f t="shared" si="50"/>
        <v>73.02</v>
      </c>
      <c r="B314" s="6">
        <f t="shared" si="51"/>
        <v>0</v>
      </c>
      <c r="C314" s="2">
        <f t="shared" si="52"/>
        <v>36.51</v>
      </c>
      <c r="D314" s="6">
        <f t="shared" si="53"/>
        <v>0</v>
      </c>
      <c r="E314" s="2">
        <f t="shared" si="52"/>
        <v>18.254999999999999</v>
      </c>
      <c r="F314" s="6">
        <f t="shared" si="54"/>
        <v>0</v>
      </c>
      <c r="G314" s="2">
        <f t="shared" si="52"/>
        <v>9.1274999999999995</v>
      </c>
      <c r="H314" s="6">
        <f t="shared" si="42"/>
        <v>0</v>
      </c>
      <c r="I314" s="2">
        <f t="shared" si="52"/>
        <v>4.5637499999999998</v>
      </c>
      <c r="J314" s="6">
        <f t="shared" si="43"/>
        <v>0</v>
      </c>
    </row>
    <row r="315" spans="1:10" x14ac:dyDescent="0.25">
      <c r="A315" s="2">
        <f t="shared" si="50"/>
        <v>73.27</v>
      </c>
      <c r="B315" s="6">
        <f t="shared" si="51"/>
        <v>0</v>
      </c>
      <c r="C315" s="2">
        <f t="shared" si="52"/>
        <v>36.634999999999998</v>
      </c>
      <c r="D315" s="6">
        <f t="shared" si="53"/>
        <v>0</v>
      </c>
      <c r="E315" s="2">
        <f t="shared" si="52"/>
        <v>18.317499999999999</v>
      </c>
      <c r="F315" s="6">
        <f t="shared" si="54"/>
        <v>0</v>
      </c>
      <c r="G315" s="2">
        <f t="shared" si="52"/>
        <v>9.1587499999999995</v>
      </c>
      <c r="H315" s="6">
        <f t="shared" si="42"/>
        <v>0</v>
      </c>
      <c r="I315" s="2">
        <f t="shared" si="52"/>
        <v>4.5793749999999998</v>
      </c>
      <c r="J315" s="6">
        <f t="shared" si="43"/>
        <v>0</v>
      </c>
    </row>
    <row r="316" spans="1:10" x14ac:dyDescent="0.25">
      <c r="A316" s="2">
        <f t="shared" si="50"/>
        <v>73.52</v>
      </c>
      <c r="B316" s="6">
        <f t="shared" si="51"/>
        <v>0</v>
      </c>
      <c r="C316" s="2">
        <f t="shared" si="52"/>
        <v>36.76</v>
      </c>
      <c r="D316" s="6">
        <f t="shared" si="53"/>
        <v>0</v>
      </c>
      <c r="E316" s="2">
        <f t="shared" si="52"/>
        <v>18.38</v>
      </c>
      <c r="F316" s="6">
        <f t="shared" si="54"/>
        <v>0</v>
      </c>
      <c r="G316" s="2">
        <f t="shared" si="52"/>
        <v>9.19</v>
      </c>
      <c r="H316" s="6">
        <f t="shared" si="42"/>
        <v>0</v>
      </c>
      <c r="I316" s="2">
        <f t="shared" si="52"/>
        <v>4.5949999999999998</v>
      </c>
      <c r="J316" s="6">
        <f t="shared" si="43"/>
        <v>0</v>
      </c>
    </row>
    <row r="317" spans="1:10" x14ac:dyDescent="0.25">
      <c r="A317" s="2">
        <f t="shared" si="50"/>
        <v>73.77</v>
      </c>
      <c r="B317" s="6">
        <f t="shared" si="51"/>
        <v>0</v>
      </c>
      <c r="C317" s="2">
        <f t="shared" si="52"/>
        <v>36.884999999999998</v>
      </c>
      <c r="D317" s="6">
        <f t="shared" si="53"/>
        <v>0</v>
      </c>
      <c r="E317" s="2">
        <f t="shared" si="52"/>
        <v>18.442499999999999</v>
      </c>
      <c r="F317" s="6">
        <f t="shared" si="54"/>
        <v>0</v>
      </c>
      <c r="G317" s="2">
        <f t="shared" si="52"/>
        <v>9.2212499999999995</v>
      </c>
      <c r="H317" s="6">
        <f t="shared" si="42"/>
        <v>0</v>
      </c>
      <c r="I317" s="2">
        <f t="shared" si="52"/>
        <v>4.6106249999999998</v>
      </c>
      <c r="J317" s="6">
        <f t="shared" si="43"/>
        <v>0</v>
      </c>
    </row>
    <row r="318" spans="1:10" x14ac:dyDescent="0.25">
      <c r="A318" s="2">
        <f t="shared" si="50"/>
        <v>74.02</v>
      </c>
      <c r="B318" s="6">
        <f t="shared" si="51"/>
        <v>0</v>
      </c>
      <c r="C318" s="2">
        <f t="shared" si="52"/>
        <v>37.01</v>
      </c>
      <c r="D318" s="6">
        <f t="shared" si="53"/>
        <v>0</v>
      </c>
      <c r="E318" s="2">
        <f t="shared" si="52"/>
        <v>18.504999999999999</v>
      </c>
      <c r="F318" s="6">
        <f t="shared" si="54"/>
        <v>0</v>
      </c>
      <c r="G318" s="2">
        <f t="shared" si="52"/>
        <v>9.2524999999999995</v>
      </c>
      <c r="H318" s="6">
        <f t="shared" si="42"/>
        <v>0</v>
      </c>
      <c r="I318" s="2">
        <f t="shared" si="52"/>
        <v>4.6262499999999998</v>
      </c>
      <c r="J318" s="6">
        <f t="shared" si="43"/>
        <v>0</v>
      </c>
    </row>
    <row r="319" spans="1:10" x14ac:dyDescent="0.25">
      <c r="A319" s="2">
        <f t="shared" si="50"/>
        <v>74.27</v>
      </c>
      <c r="B319" s="6">
        <f t="shared" si="51"/>
        <v>0</v>
      </c>
      <c r="C319" s="2">
        <f t="shared" si="52"/>
        <v>37.134999999999998</v>
      </c>
      <c r="D319" s="6">
        <f t="shared" si="53"/>
        <v>0</v>
      </c>
      <c r="E319" s="2">
        <f t="shared" si="52"/>
        <v>18.567499999999999</v>
      </c>
      <c r="F319" s="6">
        <f t="shared" si="54"/>
        <v>0</v>
      </c>
      <c r="G319" s="2">
        <f t="shared" si="52"/>
        <v>9.2837499999999995</v>
      </c>
      <c r="H319" s="6">
        <f t="shared" si="42"/>
        <v>0</v>
      </c>
      <c r="I319" s="2">
        <f t="shared" si="52"/>
        <v>4.6418749999999998</v>
      </c>
      <c r="J319" s="6">
        <f t="shared" si="43"/>
        <v>0</v>
      </c>
    </row>
    <row r="320" spans="1:10" x14ac:dyDescent="0.25">
      <c r="A320" s="2">
        <f t="shared" si="50"/>
        <v>74.52</v>
      </c>
      <c r="B320" s="6">
        <f t="shared" si="51"/>
        <v>0</v>
      </c>
      <c r="C320" s="2">
        <f t="shared" si="52"/>
        <v>37.26</v>
      </c>
      <c r="D320" s="6">
        <f t="shared" si="53"/>
        <v>0</v>
      </c>
      <c r="E320" s="2">
        <f t="shared" si="52"/>
        <v>18.63</v>
      </c>
      <c r="F320" s="6">
        <f t="shared" si="54"/>
        <v>0</v>
      </c>
      <c r="G320" s="2">
        <f t="shared" si="52"/>
        <v>9.3149999999999995</v>
      </c>
      <c r="H320" s="6">
        <f t="shared" si="42"/>
        <v>0</v>
      </c>
      <c r="I320" s="2">
        <f t="shared" si="52"/>
        <v>4.6574999999999998</v>
      </c>
      <c r="J320" s="6">
        <f t="shared" si="43"/>
        <v>0</v>
      </c>
    </row>
    <row r="321" spans="1:10" x14ac:dyDescent="0.25">
      <c r="A321" s="2">
        <f t="shared" si="50"/>
        <v>74.77</v>
      </c>
      <c r="B321" s="6">
        <f t="shared" si="51"/>
        <v>0</v>
      </c>
      <c r="C321" s="2">
        <f t="shared" si="52"/>
        <v>37.384999999999998</v>
      </c>
      <c r="D321" s="6">
        <f t="shared" si="53"/>
        <v>0</v>
      </c>
      <c r="E321" s="2">
        <f t="shared" si="52"/>
        <v>18.692499999999999</v>
      </c>
      <c r="F321" s="6">
        <f t="shared" si="54"/>
        <v>0</v>
      </c>
      <c r="G321" s="2">
        <f t="shared" si="52"/>
        <v>9.3462499999999995</v>
      </c>
      <c r="H321" s="6">
        <f t="shared" si="42"/>
        <v>0</v>
      </c>
      <c r="I321" s="2">
        <f t="shared" si="52"/>
        <v>4.6731249999999998</v>
      </c>
      <c r="J321" s="6">
        <f t="shared" si="43"/>
        <v>0</v>
      </c>
    </row>
    <row r="322" spans="1:10" x14ac:dyDescent="0.25">
      <c r="A322" s="2">
        <f t="shared" si="50"/>
        <v>75.02</v>
      </c>
      <c r="B322" s="6">
        <f t="shared" si="51"/>
        <v>0</v>
      </c>
      <c r="C322" s="2">
        <f t="shared" si="52"/>
        <v>37.51</v>
      </c>
      <c r="D322" s="6">
        <f t="shared" si="53"/>
        <v>0</v>
      </c>
      <c r="E322" s="2">
        <f t="shared" si="52"/>
        <v>18.754999999999999</v>
      </c>
      <c r="F322" s="6">
        <f t="shared" si="54"/>
        <v>0</v>
      </c>
      <c r="G322" s="2">
        <f t="shared" si="52"/>
        <v>9.3774999999999995</v>
      </c>
      <c r="H322" s="6">
        <f t="shared" si="42"/>
        <v>0</v>
      </c>
      <c r="I322" s="2">
        <f t="shared" si="52"/>
        <v>4.6887499999999998</v>
      </c>
      <c r="J322" s="6">
        <f t="shared" si="43"/>
        <v>0</v>
      </c>
    </row>
    <row r="323" spans="1:10" x14ac:dyDescent="0.25">
      <c r="A323" s="2">
        <f t="shared" si="50"/>
        <v>75.27</v>
      </c>
      <c r="B323" s="6">
        <f t="shared" si="51"/>
        <v>0</v>
      </c>
      <c r="C323" s="2">
        <f t="shared" si="52"/>
        <v>37.634999999999998</v>
      </c>
      <c r="D323" s="6">
        <f t="shared" si="53"/>
        <v>0</v>
      </c>
      <c r="E323" s="2">
        <f t="shared" si="52"/>
        <v>18.817499999999999</v>
      </c>
      <c r="F323" s="6">
        <f t="shared" si="54"/>
        <v>0</v>
      </c>
      <c r="G323" s="2">
        <f t="shared" si="52"/>
        <v>9.4087499999999995</v>
      </c>
      <c r="H323" s="6">
        <f t="shared" si="42"/>
        <v>0</v>
      </c>
      <c r="I323" s="2">
        <f t="shared" si="52"/>
        <v>4.7043749999999998</v>
      </c>
      <c r="J323" s="6">
        <f t="shared" si="43"/>
        <v>0</v>
      </c>
    </row>
    <row r="324" spans="1:10" x14ac:dyDescent="0.25">
      <c r="A324" s="2">
        <f t="shared" si="50"/>
        <v>75.52</v>
      </c>
      <c r="B324" s="6">
        <f t="shared" si="51"/>
        <v>0</v>
      </c>
      <c r="C324" s="2">
        <f t="shared" si="52"/>
        <v>37.76</v>
      </c>
      <c r="D324" s="6">
        <f t="shared" si="53"/>
        <v>0</v>
      </c>
      <c r="E324" s="2">
        <f t="shared" si="52"/>
        <v>18.88</v>
      </c>
      <c r="F324" s="6">
        <f t="shared" si="54"/>
        <v>0</v>
      </c>
      <c r="G324" s="2">
        <f t="shared" si="52"/>
        <v>9.44</v>
      </c>
      <c r="H324" s="6">
        <f t="shared" si="42"/>
        <v>0</v>
      </c>
      <c r="I324" s="2">
        <f t="shared" si="52"/>
        <v>4.72</v>
      </c>
      <c r="J324" s="6">
        <f t="shared" si="43"/>
        <v>0</v>
      </c>
    </row>
    <row r="325" spans="1:10" x14ac:dyDescent="0.25">
      <c r="A325" s="2">
        <f t="shared" si="50"/>
        <v>75.77</v>
      </c>
      <c r="B325" s="6">
        <f t="shared" si="51"/>
        <v>0</v>
      </c>
      <c r="C325" s="2">
        <f t="shared" si="52"/>
        <v>37.884999999999998</v>
      </c>
      <c r="D325" s="6">
        <f t="shared" si="53"/>
        <v>0</v>
      </c>
      <c r="E325" s="2">
        <f t="shared" si="52"/>
        <v>18.942499999999999</v>
      </c>
      <c r="F325" s="6">
        <f t="shared" si="54"/>
        <v>0</v>
      </c>
      <c r="G325" s="2">
        <f t="shared" si="52"/>
        <v>9.4712499999999995</v>
      </c>
      <c r="H325" s="6">
        <f t="shared" si="42"/>
        <v>0</v>
      </c>
      <c r="I325" s="2">
        <f t="shared" si="52"/>
        <v>4.7356249999999998</v>
      </c>
      <c r="J325" s="6">
        <f t="shared" si="43"/>
        <v>0</v>
      </c>
    </row>
    <row r="326" spans="1:10" x14ac:dyDescent="0.25">
      <c r="A326" s="2">
        <f t="shared" si="50"/>
        <v>76.02</v>
      </c>
      <c r="B326" s="6">
        <f t="shared" si="51"/>
        <v>0</v>
      </c>
      <c r="C326" s="2">
        <f t="shared" si="52"/>
        <v>38.01</v>
      </c>
      <c r="D326" s="6">
        <f t="shared" si="53"/>
        <v>0</v>
      </c>
      <c r="E326" s="2">
        <f t="shared" si="52"/>
        <v>19.004999999999999</v>
      </c>
      <c r="F326" s="6">
        <f t="shared" si="54"/>
        <v>0</v>
      </c>
      <c r="G326" s="2">
        <f t="shared" si="52"/>
        <v>9.5024999999999995</v>
      </c>
      <c r="H326" s="6">
        <f t="shared" si="42"/>
        <v>0</v>
      </c>
      <c r="I326" s="2">
        <f t="shared" si="52"/>
        <v>4.7512499999999998</v>
      </c>
      <c r="J326" s="6">
        <f t="shared" si="43"/>
        <v>0</v>
      </c>
    </row>
    <row r="327" spans="1:10" x14ac:dyDescent="0.25">
      <c r="A327" s="2">
        <f t="shared" si="50"/>
        <v>76.27</v>
      </c>
      <c r="B327" s="6">
        <f t="shared" si="51"/>
        <v>0</v>
      </c>
      <c r="C327" s="2">
        <f t="shared" si="52"/>
        <v>38.134999999999998</v>
      </c>
      <c r="D327" s="6">
        <f t="shared" si="53"/>
        <v>0</v>
      </c>
      <c r="E327" s="2">
        <f t="shared" si="52"/>
        <v>19.067499999999999</v>
      </c>
      <c r="F327" s="6">
        <f t="shared" si="54"/>
        <v>0</v>
      </c>
      <c r="G327" s="2">
        <f t="shared" si="52"/>
        <v>9.5337499999999995</v>
      </c>
      <c r="H327" s="6">
        <f t="shared" si="42"/>
        <v>0</v>
      </c>
      <c r="I327" s="2">
        <f t="shared" si="52"/>
        <v>4.7668749999999998</v>
      </c>
      <c r="J327" s="6">
        <f t="shared" si="43"/>
        <v>0</v>
      </c>
    </row>
    <row r="328" spans="1:10" x14ac:dyDescent="0.25">
      <c r="A328" s="2">
        <f t="shared" si="50"/>
        <v>76.52</v>
      </c>
      <c r="B328" s="6">
        <f t="shared" si="51"/>
        <v>0</v>
      </c>
      <c r="C328" s="2">
        <f t="shared" si="52"/>
        <v>38.26</v>
      </c>
      <c r="D328" s="6">
        <f t="shared" si="53"/>
        <v>0</v>
      </c>
      <c r="E328" s="2">
        <f t="shared" si="52"/>
        <v>19.13</v>
      </c>
      <c r="F328" s="6">
        <f t="shared" si="54"/>
        <v>0</v>
      </c>
      <c r="G328" s="2">
        <f t="shared" si="52"/>
        <v>9.5649999999999995</v>
      </c>
      <c r="H328" s="6">
        <f t="shared" si="42"/>
        <v>0</v>
      </c>
      <c r="I328" s="2">
        <f t="shared" si="52"/>
        <v>4.7824999999999998</v>
      </c>
      <c r="J328" s="6">
        <f t="shared" si="43"/>
        <v>0</v>
      </c>
    </row>
    <row r="329" spans="1:10" x14ac:dyDescent="0.25">
      <c r="A329" s="2">
        <f t="shared" si="50"/>
        <v>76.77</v>
      </c>
      <c r="B329" s="6">
        <f t="shared" si="51"/>
        <v>0</v>
      </c>
      <c r="C329" s="2">
        <f t="shared" si="52"/>
        <v>38.384999999999998</v>
      </c>
      <c r="D329" s="6">
        <f t="shared" si="53"/>
        <v>0</v>
      </c>
      <c r="E329" s="2">
        <f t="shared" si="52"/>
        <v>19.192499999999999</v>
      </c>
      <c r="F329" s="6">
        <f t="shared" si="54"/>
        <v>0</v>
      </c>
      <c r="G329" s="2">
        <f t="shared" si="52"/>
        <v>9.5962499999999995</v>
      </c>
      <c r="H329" s="6">
        <f t="shared" si="42"/>
        <v>0</v>
      </c>
      <c r="I329" s="2">
        <f t="shared" si="52"/>
        <v>4.7981249999999998</v>
      </c>
      <c r="J329" s="6">
        <f t="shared" si="43"/>
        <v>0</v>
      </c>
    </row>
    <row r="330" spans="1:10" x14ac:dyDescent="0.25">
      <c r="A330" s="2">
        <f t="shared" si="50"/>
        <v>77.02</v>
      </c>
      <c r="B330" s="6">
        <f t="shared" si="51"/>
        <v>0</v>
      </c>
      <c r="C330" s="2">
        <f t="shared" si="52"/>
        <v>38.51</v>
      </c>
      <c r="D330" s="6">
        <f t="shared" si="53"/>
        <v>0</v>
      </c>
      <c r="E330" s="2">
        <f t="shared" si="52"/>
        <v>19.254999999999999</v>
      </c>
      <c r="F330" s="6">
        <f t="shared" si="54"/>
        <v>0</v>
      </c>
      <c r="G330" s="2">
        <f t="shared" si="52"/>
        <v>9.6274999999999995</v>
      </c>
      <c r="H330" s="6">
        <f t="shared" ref="H330:H347" si="55">MIN(NORMSDIST((-LN(G330)+$B$1^2/2)/$B$1)-G330*NORMSDIST((-LN(G330)-$B$1^2/2)/$B$1),-NORMSDIST(-(-LN(G330)+$B$1^2/2)/$B$1)+G330*NORMSDIST(-(-LN(G330)-$B$1^2/2)/$B$1))/G330^2</f>
        <v>0</v>
      </c>
      <c r="I330" s="2">
        <f t="shared" si="52"/>
        <v>4.8137499999999998</v>
      </c>
      <c r="J330" s="6">
        <f t="shared" ref="J330:J347" si="56">MIN(NORMSDIST((-LN(I330)+$B$1^2/2)/$B$1)-I330*NORMSDIST((-LN(I330)-$B$1^2/2)/$B$1),-NORMSDIST(-(-LN(I330)+$B$1^2/2)/$B$1)+I330*NORMSDIST(-(-LN(I330)-$B$1^2/2)/$B$1))/I330^2</f>
        <v>0</v>
      </c>
    </row>
    <row r="331" spans="1:10" x14ac:dyDescent="0.25">
      <c r="A331" s="2">
        <f t="shared" si="50"/>
        <v>77.27</v>
      </c>
      <c r="B331" s="6">
        <f t="shared" si="51"/>
        <v>0</v>
      </c>
      <c r="C331" s="2">
        <f t="shared" si="52"/>
        <v>38.634999999999998</v>
      </c>
      <c r="D331" s="6">
        <f t="shared" si="53"/>
        <v>0</v>
      </c>
      <c r="E331" s="2">
        <f t="shared" si="52"/>
        <v>19.317499999999999</v>
      </c>
      <c r="F331" s="6">
        <f t="shared" si="54"/>
        <v>0</v>
      </c>
      <c r="G331" s="2">
        <f t="shared" si="52"/>
        <v>9.6587499999999995</v>
      </c>
      <c r="H331" s="6">
        <f t="shared" si="55"/>
        <v>0</v>
      </c>
      <c r="I331" s="2">
        <f t="shared" si="52"/>
        <v>4.8293749999999998</v>
      </c>
      <c r="J331" s="6">
        <f t="shared" si="56"/>
        <v>0</v>
      </c>
    </row>
    <row r="332" spans="1:10" x14ac:dyDescent="0.25">
      <c r="A332" s="2">
        <f t="shared" si="50"/>
        <v>77.52</v>
      </c>
      <c r="B332" s="6">
        <f t="shared" si="51"/>
        <v>0</v>
      </c>
      <c r="C332" s="2">
        <f t="shared" si="52"/>
        <v>38.76</v>
      </c>
      <c r="D332" s="6">
        <f t="shared" si="53"/>
        <v>0</v>
      </c>
      <c r="E332" s="2">
        <f t="shared" si="52"/>
        <v>19.38</v>
      </c>
      <c r="F332" s="6">
        <f t="shared" si="54"/>
        <v>0</v>
      </c>
      <c r="G332" s="2">
        <f t="shared" si="52"/>
        <v>9.69</v>
      </c>
      <c r="H332" s="6">
        <f t="shared" si="55"/>
        <v>0</v>
      </c>
      <c r="I332" s="2">
        <f t="shared" si="52"/>
        <v>4.8449999999999998</v>
      </c>
      <c r="J332" s="6">
        <f t="shared" si="56"/>
        <v>0</v>
      </c>
    </row>
    <row r="333" spans="1:10" x14ac:dyDescent="0.25">
      <c r="A333" s="2">
        <f t="shared" si="50"/>
        <v>77.77</v>
      </c>
      <c r="B333" s="6">
        <f t="shared" si="51"/>
        <v>0</v>
      </c>
      <c r="C333" s="2">
        <f t="shared" si="52"/>
        <v>38.884999999999998</v>
      </c>
      <c r="D333" s="6">
        <f t="shared" si="53"/>
        <v>0</v>
      </c>
      <c r="E333" s="2">
        <f t="shared" si="52"/>
        <v>19.442499999999999</v>
      </c>
      <c r="F333" s="6">
        <f t="shared" si="54"/>
        <v>0</v>
      </c>
      <c r="G333" s="2">
        <f t="shared" si="52"/>
        <v>9.7212499999999995</v>
      </c>
      <c r="H333" s="6">
        <f t="shared" si="55"/>
        <v>0</v>
      </c>
      <c r="I333" s="2">
        <f t="shared" si="52"/>
        <v>4.8606249999999998</v>
      </c>
      <c r="J333" s="6">
        <f t="shared" si="56"/>
        <v>0</v>
      </c>
    </row>
    <row r="334" spans="1:10" x14ac:dyDescent="0.25">
      <c r="A334" s="2">
        <f t="shared" si="50"/>
        <v>78.02</v>
      </c>
      <c r="B334" s="6">
        <f t="shared" si="51"/>
        <v>0</v>
      </c>
      <c r="C334" s="2">
        <f t="shared" si="52"/>
        <v>39.01</v>
      </c>
      <c r="D334" s="6">
        <f t="shared" si="53"/>
        <v>0</v>
      </c>
      <c r="E334" s="2">
        <f t="shared" si="52"/>
        <v>19.504999999999999</v>
      </c>
      <c r="F334" s="6">
        <f t="shared" si="54"/>
        <v>0</v>
      </c>
      <c r="G334" s="2">
        <f t="shared" si="52"/>
        <v>9.7524999999999995</v>
      </c>
      <c r="H334" s="6">
        <f t="shared" si="55"/>
        <v>0</v>
      </c>
      <c r="I334" s="2">
        <f t="shared" si="52"/>
        <v>4.8762499999999998</v>
      </c>
      <c r="J334" s="6">
        <f t="shared" si="56"/>
        <v>0</v>
      </c>
    </row>
    <row r="335" spans="1:10" x14ac:dyDescent="0.25">
      <c r="A335" s="2">
        <f t="shared" si="50"/>
        <v>78.27</v>
      </c>
      <c r="B335" s="6">
        <f t="shared" si="51"/>
        <v>0</v>
      </c>
      <c r="C335" s="2">
        <f t="shared" si="52"/>
        <v>39.134999999999998</v>
      </c>
      <c r="D335" s="6">
        <f t="shared" si="53"/>
        <v>0</v>
      </c>
      <c r="E335" s="2">
        <f t="shared" si="52"/>
        <v>19.567499999999999</v>
      </c>
      <c r="F335" s="6">
        <f t="shared" si="54"/>
        <v>0</v>
      </c>
      <c r="G335" s="2">
        <f t="shared" si="52"/>
        <v>9.7837499999999995</v>
      </c>
      <c r="H335" s="6">
        <f t="shared" si="55"/>
        <v>0</v>
      </c>
      <c r="I335" s="2">
        <f t="shared" si="52"/>
        <v>4.8918749999999998</v>
      </c>
      <c r="J335" s="6">
        <f t="shared" si="56"/>
        <v>0</v>
      </c>
    </row>
    <row r="336" spans="1:10" x14ac:dyDescent="0.25">
      <c r="A336" s="2">
        <f t="shared" si="50"/>
        <v>78.52</v>
      </c>
      <c r="B336" s="6">
        <f t="shared" si="51"/>
        <v>0</v>
      </c>
      <c r="C336" s="2">
        <f t="shared" si="52"/>
        <v>39.26</v>
      </c>
      <c r="D336" s="6">
        <f t="shared" si="53"/>
        <v>0</v>
      </c>
      <c r="E336" s="2">
        <f t="shared" si="52"/>
        <v>19.63</v>
      </c>
      <c r="F336" s="6">
        <f t="shared" si="54"/>
        <v>0</v>
      </c>
      <c r="G336" s="2">
        <f t="shared" si="52"/>
        <v>9.8149999999999995</v>
      </c>
      <c r="H336" s="6">
        <f t="shared" si="55"/>
        <v>0</v>
      </c>
      <c r="I336" s="2">
        <f t="shared" si="52"/>
        <v>4.9074999999999998</v>
      </c>
      <c r="J336" s="6">
        <f t="shared" si="56"/>
        <v>0</v>
      </c>
    </row>
    <row r="337" spans="1:10" x14ac:dyDescent="0.25">
      <c r="A337" s="2">
        <f t="shared" si="50"/>
        <v>78.77</v>
      </c>
      <c r="B337" s="6">
        <f t="shared" si="51"/>
        <v>0</v>
      </c>
      <c r="C337" s="2">
        <f t="shared" si="52"/>
        <v>39.384999999999998</v>
      </c>
      <c r="D337" s="6">
        <f t="shared" si="53"/>
        <v>0</v>
      </c>
      <c r="E337" s="2">
        <f t="shared" si="52"/>
        <v>19.692499999999999</v>
      </c>
      <c r="F337" s="6">
        <f t="shared" si="54"/>
        <v>0</v>
      </c>
      <c r="G337" s="2">
        <f t="shared" si="52"/>
        <v>9.8462499999999995</v>
      </c>
      <c r="H337" s="6">
        <f t="shared" si="55"/>
        <v>0</v>
      </c>
      <c r="I337" s="2">
        <f t="shared" si="52"/>
        <v>4.9231249999999998</v>
      </c>
      <c r="J337" s="6">
        <f t="shared" si="56"/>
        <v>0</v>
      </c>
    </row>
    <row r="338" spans="1:10" x14ac:dyDescent="0.25">
      <c r="A338" s="2">
        <f t="shared" si="50"/>
        <v>79.02</v>
      </c>
      <c r="B338" s="6">
        <f t="shared" si="51"/>
        <v>0</v>
      </c>
      <c r="C338" s="2">
        <f t="shared" si="52"/>
        <v>39.51</v>
      </c>
      <c r="D338" s="6">
        <f t="shared" si="53"/>
        <v>0</v>
      </c>
      <c r="E338" s="2">
        <f t="shared" si="52"/>
        <v>19.754999999999999</v>
      </c>
      <c r="F338" s="6">
        <f t="shared" si="54"/>
        <v>0</v>
      </c>
      <c r="G338" s="2">
        <f t="shared" si="52"/>
        <v>9.8774999999999995</v>
      </c>
      <c r="H338" s="6">
        <f t="shared" si="55"/>
        <v>0</v>
      </c>
      <c r="I338" s="2">
        <f t="shared" si="52"/>
        <v>4.9387499999999998</v>
      </c>
      <c r="J338" s="6">
        <f t="shared" si="56"/>
        <v>0</v>
      </c>
    </row>
    <row r="339" spans="1:10" x14ac:dyDescent="0.25">
      <c r="A339" s="2">
        <f t="shared" si="50"/>
        <v>79.27</v>
      </c>
      <c r="B339" s="6">
        <f t="shared" si="51"/>
        <v>0</v>
      </c>
      <c r="C339" s="2">
        <f t="shared" si="52"/>
        <v>39.634999999999998</v>
      </c>
      <c r="D339" s="6">
        <f t="shared" si="53"/>
        <v>0</v>
      </c>
      <c r="E339" s="2">
        <f t="shared" si="52"/>
        <v>19.817499999999999</v>
      </c>
      <c r="F339" s="6">
        <f t="shared" si="54"/>
        <v>0</v>
      </c>
      <c r="G339" s="2">
        <f t="shared" si="52"/>
        <v>9.9087499999999995</v>
      </c>
      <c r="H339" s="6">
        <f t="shared" si="55"/>
        <v>0</v>
      </c>
      <c r="I339" s="2">
        <f t="shared" si="52"/>
        <v>4.9543749999999998</v>
      </c>
      <c r="J339" s="6">
        <f t="shared" si="56"/>
        <v>0</v>
      </c>
    </row>
    <row r="340" spans="1:10" x14ac:dyDescent="0.25">
      <c r="A340" s="2">
        <f t="shared" si="50"/>
        <v>79.52</v>
      </c>
      <c r="B340" s="6">
        <f t="shared" si="51"/>
        <v>0</v>
      </c>
      <c r="C340" s="2">
        <f t="shared" si="52"/>
        <v>39.76</v>
      </c>
      <c r="D340" s="6">
        <f t="shared" si="53"/>
        <v>0</v>
      </c>
      <c r="E340" s="2">
        <f t="shared" si="52"/>
        <v>19.88</v>
      </c>
      <c r="F340" s="6">
        <f t="shared" si="54"/>
        <v>0</v>
      </c>
      <c r="G340" s="2">
        <f t="shared" si="52"/>
        <v>9.94</v>
      </c>
      <c r="H340" s="6">
        <f t="shared" si="55"/>
        <v>0</v>
      </c>
      <c r="I340" s="2">
        <f t="shared" si="52"/>
        <v>4.97</v>
      </c>
      <c r="J340" s="6">
        <f t="shared" si="56"/>
        <v>0</v>
      </c>
    </row>
    <row r="341" spans="1:10" x14ac:dyDescent="0.25">
      <c r="A341" s="2">
        <f t="shared" si="50"/>
        <v>79.77</v>
      </c>
      <c r="B341" s="6">
        <f t="shared" si="51"/>
        <v>0</v>
      </c>
      <c r="C341" s="2">
        <f t="shared" si="52"/>
        <v>39.884999999999998</v>
      </c>
      <c r="D341" s="6">
        <f t="shared" si="53"/>
        <v>0</v>
      </c>
      <c r="E341" s="2">
        <f t="shared" si="52"/>
        <v>19.942499999999999</v>
      </c>
      <c r="F341" s="6">
        <f t="shared" si="54"/>
        <v>0</v>
      </c>
      <c r="G341" s="2">
        <f t="shared" si="52"/>
        <v>9.9712499999999995</v>
      </c>
      <c r="H341" s="6">
        <f t="shared" si="55"/>
        <v>0</v>
      </c>
      <c r="I341" s="2">
        <f t="shared" si="52"/>
        <v>4.9856249999999998</v>
      </c>
      <c r="J341" s="6">
        <f t="shared" si="56"/>
        <v>0</v>
      </c>
    </row>
    <row r="342" spans="1:10" x14ac:dyDescent="0.25">
      <c r="A342" s="2">
        <f t="shared" si="50"/>
        <v>80.02</v>
      </c>
      <c r="B342" s="6">
        <f t="shared" si="51"/>
        <v>0</v>
      </c>
      <c r="C342" s="2">
        <f t="shared" si="52"/>
        <v>40.01</v>
      </c>
      <c r="D342" s="6">
        <f t="shared" si="53"/>
        <v>0</v>
      </c>
      <c r="E342" s="2">
        <f t="shared" si="52"/>
        <v>20.004999999999999</v>
      </c>
      <c r="F342" s="6">
        <f t="shared" si="54"/>
        <v>0</v>
      </c>
      <c r="G342" s="2">
        <f t="shared" si="52"/>
        <v>10.0025</v>
      </c>
      <c r="H342" s="6">
        <f t="shared" si="55"/>
        <v>0</v>
      </c>
      <c r="I342" s="2">
        <f t="shared" si="52"/>
        <v>5.0012499999999998</v>
      </c>
      <c r="J342" s="6">
        <f t="shared" si="56"/>
        <v>0</v>
      </c>
    </row>
    <row r="343" spans="1:10" x14ac:dyDescent="0.25">
      <c r="A343" s="2">
        <f t="shared" si="50"/>
        <v>80.27</v>
      </c>
      <c r="B343" s="6">
        <f t="shared" si="51"/>
        <v>0</v>
      </c>
      <c r="C343" s="2">
        <f t="shared" si="52"/>
        <v>40.134999999999998</v>
      </c>
      <c r="D343" s="6">
        <f t="shared" si="53"/>
        <v>0</v>
      </c>
      <c r="E343" s="2">
        <f t="shared" si="52"/>
        <v>20.067499999999999</v>
      </c>
      <c r="F343" s="6">
        <f t="shared" si="54"/>
        <v>0</v>
      </c>
      <c r="G343" s="2">
        <f t="shared" si="52"/>
        <v>10.03375</v>
      </c>
      <c r="H343" s="6">
        <f t="shared" si="55"/>
        <v>0</v>
      </c>
      <c r="I343" s="2">
        <f t="shared" si="52"/>
        <v>5.0168749999999998</v>
      </c>
      <c r="J343" s="6">
        <f t="shared" si="56"/>
        <v>0</v>
      </c>
    </row>
    <row r="344" spans="1:10" x14ac:dyDescent="0.25">
      <c r="A344" s="2">
        <f t="shared" si="50"/>
        <v>80.52</v>
      </c>
      <c r="B344" s="6">
        <f t="shared" si="51"/>
        <v>0</v>
      </c>
      <c r="C344" s="2">
        <f t="shared" si="52"/>
        <v>40.26</v>
      </c>
      <c r="D344" s="6">
        <f t="shared" si="53"/>
        <v>0</v>
      </c>
      <c r="E344" s="2">
        <f t="shared" si="52"/>
        <v>20.13</v>
      </c>
      <c r="F344" s="6">
        <f t="shared" si="54"/>
        <v>0</v>
      </c>
      <c r="G344" s="2">
        <f t="shared" si="52"/>
        <v>10.065</v>
      </c>
      <c r="H344" s="6">
        <f t="shared" si="55"/>
        <v>0</v>
      </c>
      <c r="I344" s="2">
        <f t="shared" si="52"/>
        <v>5.0324999999999998</v>
      </c>
      <c r="J344" s="6">
        <f t="shared" si="56"/>
        <v>0</v>
      </c>
    </row>
    <row r="345" spans="1:10" x14ac:dyDescent="0.25">
      <c r="A345" s="2">
        <f t="shared" si="50"/>
        <v>80.77</v>
      </c>
      <c r="B345" s="6">
        <f t="shared" si="51"/>
        <v>0</v>
      </c>
      <c r="C345" s="2">
        <f t="shared" si="52"/>
        <v>40.384999999999998</v>
      </c>
      <c r="D345" s="6">
        <f t="shared" si="53"/>
        <v>0</v>
      </c>
      <c r="E345" s="2">
        <f t="shared" si="52"/>
        <v>20.192499999999999</v>
      </c>
      <c r="F345" s="6">
        <f t="shared" si="54"/>
        <v>0</v>
      </c>
      <c r="G345" s="2">
        <f t="shared" si="52"/>
        <v>10.09625</v>
      </c>
      <c r="H345" s="6">
        <f t="shared" si="55"/>
        <v>0</v>
      </c>
      <c r="I345" s="2">
        <f t="shared" si="52"/>
        <v>5.0481249999999998</v>
      </c>
      <c r="J345" s="6">
        <f t="shared" si="56"/>
        <v>0</v>
      </c>
    </row>
    <row r="346" spans="1:10" x14ac:dyDescent="0.25">
      <c r="A346" s="2">
        <f t="shared" si="50"/>
        <v>81.02</v>
      </c>
      <c r="B346" s="6">
        <f t="shared" si="51"/>
        <v>0</v>
      </c>
      <c r="C346" s="2">
        <f t="shared" si="52"/>
        <v>40.51</v>
      </c>
      <c r="D346" s="6">
        <f t="shared" si="53"/>
        <v>0</v>
      </c>
      <c r="E346" s="2">
        <f t="shared" si="52"/>
        <v>20.254999999999999</v>
      </c>
      <c r="F346" s="6">
        <f t="shared" si="54"/>
        <v>0</v>
      </c>
      <c r="G346" s="2">
        <f t="shared" si="52"/>
        <v>10.1275</v>
      </c>
      <c r="H346" s="6">
        <f t="shared" si="55"/>
        <v>0</v>
      </c>
      <c r="I346" s="2">
        <f t="shared" si="52"/>
        <v>5.0637499999999998</v>
      </c>
      <c r="J346" s="6">
        <f t="shared" si="56"/>
        <v>0</v>
      </c>
    </row>
    <row r="347" spans="1:10" x14ac:dyDescent="0.25">
      <c r="A347" s="2">
        <f t="shared" si="50"/>
        <v>81.27</v>
      </c>
      <c r="B347" s="6">
        <f t="shared" si="51"/>
        <v>0</v>
      </c>
      <c r="C347" s="2">
        <f t="shared" si="52"/>
        <v>40.634999999999998</v>
      </c>
      <c r="D347" s="6">
        <f t="shared" si="53"/>
        <v>0</v>
      </c>
      <c r="E347" s="2">
        <f t="shared" si="52"/>
        <v>20.317499999999999</v>
      </c>
      <c r="F347" s="6">
        <f t="shared" si="54"/>
        <v>0</v>
      </c>
      <c r="G347" s="2">
        <f t="shared" si="52"/>
        <v>10.15875</v>
      </c>
      <c r="H347" s="6">
        <f t="shared" si="55"/>
        <v>0</v>
      </c>
      <c r="I347" s="2">
        <f t="shared" si="52"/>
        <v>5.0793749999999998</v>
      </c>
      <c r="J347" s="6">
        <f t="shared" si="56"/>
        <v>0</v>
      </c>
    </row>
    <row r="348" spans="1:10" x14ac:dyDescent="0.25">
      <c r="A348" s="2">
        <f t="shared" ref="A348:A397" si="57">A347+B$2</f>
        <v>81.52</v>
      </c>
      <c r="B348" s="6">
        <f t="shared" ref="B348:B397" si="58">MIN(NORMSDIST((-LN(A348)+$B$1^2/2)/$B$1)-A348*NORMSDIST((-LN(A348)-$B$1^2/2)/$B$1),-NORMSDIST(-(-LN(A348)+$B$1^2/2)/$B$1)+A348*NORMSDIST(-(-LN(A348)-$B$1^2/2)/$B$1))/A348^2</f>
        <v>0</v>
      </c>
      <c r="C348" s="2">
        <f t="shared" ref="C348:I397" si="59">C347+D$2</f>
        <v>40.76</v>
      </c>
      <c r="D348" s="6">
        <f t="shared" ref="D348:D397" si="60">MIN(NORMSDIST((-LN(C348)+$B$1^2/2)/$B$1)-C348*NORMSDIST((-LN(C348)-$B$1^2/2)/$B$1),-NORMSDIST(-(-LN(C348)+$B$1^2/2)/$B$1)+C348*NORMSDIST(-(-LN(C348)-$B$1^2/2)/$B$1))/C348^2</f>
        <v>0</v>
      </c>
      <c r="E348" s="2">
        <f t="shared" si="59"/>
        <v>20.38</v>
      </c>
      <c r="F348" s="6">
        <f t="shared" ref="F348:F397" si="61">MIN(NORMSDIST((-LN(E348)+$B$1^2/2)/$B$1)-E348*NORMSDIST((-LN(E348)-$B$1^2/2)/$B$1),-NORMSDIST(-(-LN(E348)+$B$1^2/2)/$B$1)+E348*NORMSDIST(-(-LN(E348)-$B$1^2/2)/$B$1))/E348^2</f>
        <v>0</v>
      </c>
      <c r="G348" s="2">
        <f t="shared" si="59"/>
        <v>10.19</v>
      </c>
      <c r="H348" s="6">
        <f t="shared" ref="H348:H397" si="62">MIN(NORMSDIST((-LN(G348)+$B$1^2/2)/$B$1)-G348*NORMSDIST((-LN(G348)-$B$1^2/2)/$B$1),-NORMSDIST(-(-LN(G348)+$B$1^2/2)/$B$1)+G348*NORMSDIST(-(-LN(G348)-$B$1^2/2)/$B$1))/G348^2</f>
        <v>0</v>
      </c>
      <c r="I348" s="2">
        <f t="shared" si="59"/>
        <v>5.0949999999999998</v>
      </c>
      <c r="J348" s="6">
        <f t="shared" ref="J348:J397" si="63">MIN(NORMSDIST((-LN(I348)+$B$1^2/2)/$B$1)-I348*NORMSDIST((-LN(I348)-$B$1^2/2)/$B$1),-NORMSDIST(-(-LN(I348)+$B$1^2/2)/$B$1)+I348*NORMSDIST(-(-LN(I348)-$B$1^2/2)/$B$1))/I348^2</f>
        <v>0</v>
      </c>
    </row>
    <row r="349" spans="1:10" x14ac:dyDescent="0.25">
      <c r="A349" s="2">
        <f t="shared" si="57"/>
        <v>81.77</v>
      </c>
      <c r="B349" s="6">
        <f t="shared" si="58"/>
        <v>0</v>
      </c>
      <c r="C349" s="2">
        <f t="shared" si="59"/>
        <v>40.884999999999998</v>
      </c>
      <c r="D349" s="6">
        <f t="shared" si="60"/>
        <v>0</v>
      </c>
      <c r="E349" s="2">
        <f t="shared" si="59"/>
        <v>20.442499999999999</v>
      </c>
      <c r="F349" s="6">
        <f t="shared" si="61"/>
        <v>0</v>
      </c>
      <c r="G349" s="2">
        <f t="shared" si="59"/>
        <v>10.22125</v>
      </c>
      <c r="H349" s="6">
        <f t="shared" si="62"/>
        <v>0</v>
      </c>
      <c r="I349" s="2">
        <f t="shared" si="59"/>
        <v>5.1106249999999998</v>
      </c>
      <c r="J349" s="6">
        <f t="shared" si="63"/>
        <v>0</v>
      </c>
    </row>
    <row r="350" spans="1:10" x14ac:dyDescent="0.25">
      <c r="A350" s="2">
        <f t="shared" si="57"/>
        <v>82.02</v>
      </c>
      <c r="B350" s="6">
        <f t="shared" si="58"/>
        <v>0</v>
      </c>
      <c r="C350" s="2">
        <f t="shared" si="59"/>
        <v>41.01</v>
      </c>
      <c r="D350" s="6">
        <f t="shared" si="60"/>
        <v>0</v>
      </c>
      <c r="E350" s="2">
        <f t="shared" si="59"/>
        <v>20.504999999999999</v>
      </c>
      <c r="F350" s="6">
        <f t="shared" si="61"/>
        <v>0</v>
      </c>
      <c r="G350" s="2">
        <f t="shared" si="59"/>
        <v>10.2525</v>
      </c>
      <c r="H350" s="6">
        <f t="shared" si="62"/>
        <v>0</v>
      </c>
      <c r="I350" s="2">
        <f t="shared" si="59"/>
        <v>5.1262499999999998</v>
      </c>
      <c r="J350" s="6">
        <f t="shared" si="63"/>
        <v>0</v>
      </c>
    </row>
    <row r="351" spans="1:10" x14ac:dyDescent="0.25">
      <c r="A351" s="2">
        <f t="shared" si="57"/>
        <v>82.27</v>
      </c>
      <c r="B351" s="6">
        <f t="shared" si="58"/>
        <v>0</v>
      </c>
      <c r="C351" s="2">
        <f t="shared" si="59"/>
        <v>41.134999999999998</v>
      </c>
      <c r="D351" s="6">
        <f t="shared" si="60"/>
        <v>0</v>
      </c>
      <c r="E351" s="2">
        <f t="shared" si="59"/>
        <v>20.567499999999999</v>
      </c>
      <c r="F351" s="6">
        <f t="shared" si="61"/>
        <v>0</v>
      </c>
      <c r="G351" s="2">
        <f t="shared" si="59"/>
        <v>10.28375</v>
      </c>
      <c r="H351" s="6">
        <f t="shared" si="62"/>
        <v>0</v>
      </c>
      <c r="I351" s="2">
        <f t="shared" si="59"/>
        <v>5.1418749999999998</v>
      </c>
      <c r="J351" s="6">
        <f t="shared" si="63"/>
        <v>0</v>
      </c>
    </row>
    <row r="352" spans="1:10" x14ac:dyDescent="0.25">
      <c r="A352" s="2">
        <f t="shared" si="57"/>
        <v>82.52</v>
      </c>
      <c r="B352" s="6">
        <f t="shared" si="58"/>
        <v>0</v>
      </c>
      <c r="C352" s="2">
        <f t="shared" si="59"/>
        <v>41.26</v>
      </c>
      <c r="D352" s="6">
        <f t="shared" si="60"/>
        <v>0</v>
      </c>
      <c r="E352" s="2">
        <f t="shared" si="59"/>
        <v>20.63</v>
      </c>
      <c r="F352" s="6">
        <f t="shared" si="61"/>
        <v>0</v>
      </c>
      <c r="G352" s="2">
        <f t="shared" si="59"/>
        <v>10.315</v>
      </c>
      <c r="H352" s="6">
        <f t="shared" si="62"/>
        <v>0</v>
      </c>
      <c r="I352" s="2">
        <f t="shared" si="59"/>
        <v>5.1574999999999998</v>
      </c>
      <c r="J352" s="6">
        <f t="shared" si="63"/>
        <v>0</v>
      </c>
    </row>
    <row r="353" spans="1:10" x14ac:dyDescent="0.25">
      <c r="A353" s="2">
        <f t="shared" si="57"/>
        <v>82.77</v>
      </c>
      <c r="B353" s="6">
        <f t="shared" si="58"/>
        <v>0</v>
      </c>
      <c r="C353" s="2">
        <f t="shared" si="59"/>
        <v>41.384999999999998</v>
      </c>
      <c r="D353" s="6">
        <f t="shared" si="60"/>
        <v>0</v>
      </c>
      <c r="E353" s="2">
        <f t="shared" si="59"/>
        <v>20.692499999999999</v>
      </c>
      <c r="F353" s="6">
        <f t="shared" si="61"/>
        <v>0</v>
      </c>
      <c r="G353" s="2">
        <f t="shared" si="59"/>
        <v>10.34625</v>
      </c>
      <c r="H353" s="6">
        <f t="shared" si="62"/>
        <v>0</v>
      </c>
      <c r="I353" s="2">
        <f t="shared" si="59"/>
        <v>5.1731249999999998</v>
      </c>
      <c r="J353" s="6">
        <f t="shared" si="63"/>
        <v>0</v>
      </c>
    </row>
    <row r="354" spans="1:10" x14ac:dyDescent="0.25">
      <c r="A354" s="2">
        <f t="shared" si="57"/>
        <v>83.02</v>
      </c>
      <c r="B354" s="6">
        <f t="shared" si="58"/>
        <v>0</v>
      </c>
      <c r="C354" s="2">
        <f t="shared" si="59"/>
        <v>41.51</v>
      </c>
      <c r="D354" s="6">
        <f t="shared" si="60"/>
        <v>0</v>
      </c>
      <c r="E354" s="2">
        <f t="shared" si="59"/>
        <v>20.754999999999999</v>
      </c>
      <c r="F354" s="6">
        <f t="shared" si="61"/>
        <v>0</v>
      </c>
      <c r="G354" s="2">
        <f t="shared" si="59"/>
        <v>10.3775</v>
      </c>
      <c r="H354" s="6">
        <f t="shared" si="62"/>
        <v>0</v>
      </c>
      <c r="I354" s="2">
        <f t="shared" si="59"/>
        <v>5.1887499999999998</v>
      </c>
      <c r="J354" s="6">
        <f t="shared" si="63"/>
        <v>0</v>
      </c>
    </row>
    <row r="355" spans="1:10" x14ac:dyDescent="0.25">
      <c r="A355" s="2">
        <f t="shared" si="57"/>
        <v>83.27</v>
      </c>
      <c r="B355" s="6">
        <f t="shared" si="58"/>
        <v>0</v>
      </c>
      <c r="C355" s="2">
        <f t="shared" si="59"/>
        <v>41.634999999999998</v>
      </c>
      <c r="D355" s="6">
        <f t="shared" si="60"/>
        <v>0</v>
      </c>
      <c r="E355" s="2">
        <f t="shared" si="59"/>
        <v>20.817499999999999</v>
      </c>
      <c r="F355" s="6">
        <f t="shared" si="61"/>
        <v>0</v>
      </c>
      <c r="G355" s="2">
        <f t="shared" si="59"/>
        <v>10.40875</v>
      </c>
      <c r="H355" s="6">
        <f t="shared" si="62"/>
        <v>0</v>
      </c>
      <c r="I355" s="2">
        <f t="shared" si="59"/>
        <v>5.2043749999999998</v>
      </c>
      <c r="J355" s="6">
        <f t="shared" si="63"/>
        <v>0</v>
      </c>
    </row>
    <row r="356" spans="1:10" x14ac:dyDescent="0.25">
      <c r="A356" s="2">
        <f t="shared" si="57"/>
        <v>83.52</v>
      </c>
      <c r="B356" s="6">
        <f t="shared" si="58"/>
        <v>0</v>
      </c>
      <c r="C356" s="2">
        <f t="shared" si="59"/>
        <v>41.76</v>
      </c>
      <c r="D356" s="6">
        <f t="shared" si="60"/>
        <v>0</v>
      </c>
      <c r="E356" s="2">
        <f t="shared" si="59"/>
        <v>20.88</v>
      </c>
      <c r="F356" s="6">
        <f t="shared" si="61"/>
        <v>0</v>
      </c>
      <c r="G356" s="2">
        <f t="shared" si="59"/>
        <v>10.44</v>
      </c>
      <c r="H356" s="6">
        <f t="shared" si="62"/>
        <v>0</v>
      </c>
      <c r="I356" s="2">
        <f t="shared" si="59"/>
        <v>5.22</v>
      </c>
      <c r="J356" s="6">
        <f t="shared" si="63"/>
        <v>0</v>
      </c>
    </row>
    <row r="357" spans="1:10" x14ac:dyDescent="0.25">
      <c r="A357" s="2">
        <f t="shared" si="57"/>
        <v>83.77</v>
      </c>
      <c r="B357" s="6">
        <f t="shared" si="58"/>
        <v>0</v>
      </c>
      <c r="C357" s="2">
        <f t="shared" si="59"/>
        <v>41.884999999999998</v>
      </c>
      <c r="D357" s="6">
        <f t="shared" si="60"/>
        <v>0</v>
      </c>
      <c r="E357" s="2">
        <f t="shared" si="59"/>
        <v>20.942499999999999</v>
      </c>
      <c r="F357" s="6">
        <f t="shared" si="61"/>
        <v>0</v>
      </c>
      <c r="G357" s="2">
        <f t="shared" si="59"/>
        <v>10.47125</v>
      </c>
      <c r="H357" s="6">
        <f t="shared" si="62"/>
        <v>0</v>
      </c>
      <c r="I357" s="2">
        <f t="shared" si="59"/>
        <v>5.2356249999999998</v>
      </c>
      <c r="J357" s="6">
        <f t="shared" si="63"/>
        <v>0</v>
      </c>
    </row>
    <row r="358" spans="1:10" x14ac:dyDescent="0.25">
      <c r="A358" s="2">
        <f t="shared" si="57"/>
        <v>84.02</v>
      </c>
      <c r="B358" s="6">
        <f t="shared" si="58"/>
        <v>0</v>
      </c>
      <c r="C358" s="2">
        <f t="shared" si="59"/>
        <v>42.01</v>
      </c>
      <c r="D358" s="6">
        <f t="shared" si="60"/>
        <v>0</v>
      </c>
      <c r="E358" s="2">
        <f t="shared" si="59"/>
        <v>21.004999999999999</v>
      </c>
      <c r="F358" s="6">
        <f t="shared" si="61"/>
        <v>0</v>
      </c>
      <c r="G358" s="2">
        <f t="shared" si="59"/>
        <v>10.5025</v>
      </c>
      <c r="H358" s="6">
        <f t="shared" si="62"/>
        <v>0</v>
      </c>
      <c r="I358" s="2">
        <f t="shared" si="59"/>
        <v>5.2512499999999998</v>
      </c>
      <c r="J358" s="6">
        <f t="shared" si="63"/>
        <v>0</v>
      </c>
    </row>
    <row r="359" spans="1:10" x14ac:dyDescent="0.25">
      <c r="A359" s="2">
        <f t="shared" si="57"/>
        <v>84.27</v>
      </c>
      <c r="B359" s="6">
        <f t="shared" si="58"/>
        <v>0</v>
      </c>
      <c r="C359" s="2">
        <f t="shared" si="59"/>
        <v>42.134999999999998</v>
      </c>
      <c r="D359" s="6">
        <f t="shared" si="60"/>
        <v>0</v>
      </c>
      <c r="E359" s="2">
        <f t="shared" si="59"/>
        <v>21.067499999999999</v>
      </c>
      <c r="F359" s="6">
        <f t="shared" si="61"/>
        <v>0</v>
      </c>
      <c r="G359" s="2">
        <f t="shared" si="59"/>
        <v>10.53375</v>
      </c>
      <c r="H359" s="6">
        <f t="shared" si="62"/>
        <v>0</v>
      </c>
      <c r="I359" s="2">
        <f t="shared" si="59"/>
        <v>5.2668749999999998</v>
      </c>
      <c r="J359" s="6">
        <f t="shared" si="63"/>
        <v>0</v>
      </c>
    </row>
    <row r="360" spans="1:10" x14ac:dyDescent="0.25">
      <c r="A360" s="2">
        <f t="shared" si="57"/>
        <v>84.52</v>
      </c>
      <c r="B360" s="6">
        <f t="shared" si="58"/>
        <v>0</v>
      </c>
      <c r="C360" s="2">
        <f t="shared" si="59"/>
        <v>42.26</v>
      </c>
      <c r="D360" s="6">
        <f t="shared" si="60"/>
        <v>0</v>
      </c>
      <c r="E360" s="2">
        <f t="shared" si="59"/>
        <v>21.13</v>
      </c>
      <c r="F360" s="6">
        <f t="shared" si="61"/>
        <v>0</v>
      </c>
      <c r="G360" s="2">
        <f t="shared" si="59"/>
        <v>10.565</v>
      </c>
      <c r="H360" s="6">
        <f t="shared" si="62"/>
        <v>0</v>
      </c>
      <c r="I360" s="2">
        <f t="shared" si="59"/>
        <v>5.2824999999999998</v>
      </c>
      <c r="J360" s="6">
        <f t="shared" si="63"/>
        <v>0</v>
      </c>
    </row>
    <row r="361" spans="1:10" x14ac:dyDescent="0.25">
      <c r="A361" s="2">
        <f t="shared" si="57"/>
        <v>84.77</v>
      </c>
      <c r="B361" s="6">
        <f t="shared" si="58"/>
        <v>0</v>
      </c>
      <c r="C361" s="2">
        <f t="shared" si="59"/>
        <v>42.384999999999998</v>
      </c>
      <c r="D361" s="6">
        <f t="shared" si="60"/>
        <v>0</v>
      </c>
      <c r="E361" s="2">
        <f t="shared" si="59"/>
        <v>21.192499999999999</v>
      </c>
      <c r="F361" s="6">
        <f t="shared" si="61"/>
        <v>0</v>
      </c>
      <c r="G361" s="2">
        <f t="shared" si="59"/>
        <v>10.59625</v>
      </c>
      <c r="H361" s="6">
        <f t="shared" si="62"/>
        <v>0</v>
      </c>
      <c r="I361" s="2">
        <f t="shared" si="59"/>
        <v>5.2981249999999998</v>
      </c>
      <c r="J361" s="6">
        <f t="shared" si="63"/>
        <v>0</v>
      </c>
    </row>
    <row r="362" spans="1:10" x14ac:dyDescent="0.25">
      <c r="A362" s="2">
        <f t="shared" si="57"/>
        <v>85.02</v>
      </c>
      <c r="B362" s="6">
        <f t="shared" si="58"/>
        <v>0</v>
      </c>
      <c r="C362" s="2">
        <f t="shared" si="59"/>
        <v>42.51</v>
      </c>
      <c r="D362" s="6">
        <f t="shared" si="60"/>
        <v>0</v>
      </c>
      <c r="E362" s="2">
        <f t="shared" si="59"/>
        <v>21.254999999999999</v>
      </c>
      <c r="F362" s="6">
        <f t="shared" si="61"/>
        <v>0</v>
      </c>
      <c r="G362" s="2">
        <f t="shared" si="59"/>
        <v>10.6275</v>
      </c>
      <c r="H362" s="6">
        <f t="shared" si="62"/>
        <v>0</v>
      </c>
      <c r="I362" s="2">
        <f t="shared" si="59"/>
        <v>5.3137499999999998</v>
      </c>
      <c r="J362" s="6">
        <f t="shared" si="63"/>
        <v>0</v>
      </c>
    </row>
    <row r="363" spans="1:10" x14ac:dyDescent="0.25">
      <c r="A363" s="2">
        <f t="shared" si="57"/>
        <v>85.27</v>
      </c>
      <c r="B363" s="6">
        <f t="shared" si="58"/>
        <v>0</v>
      </c>
      <c r="C363" s="2">
        <f t="shared" si="59"/>
        <v>42.634999999999998</v>
      </c>
      <c r="D363" s="6">
        <f t="shared" si="60"/>
        <v>0</v>
      </c>
      <c r="E363" s="2">
        <f t="shared" si="59"/>
        <v>21.317499999999999</v>
      </c>
      <c r="F363" s="6">
        <f t="shared" si="61"/>
        <v>0</v>
      </c>
      <c r="G363" s="2">
        <f t="shared" si="59"/>
        <v>10.65875</v>
      </c>
      <c r="H363" s="6">
        <f t="shared" si="62"/>
        <v>0</v>
      </c>
      <c r="I363" s="2">
        <f t="shared" si="59"/>
        <v>5.3293749999999998</v>
      </c>
      <c r="J363" s="6">
        <f t="shared" si="63"/>
        <v>0</v>
      </c>
    </row>
    <row r="364" spans="1:10" x14ac:dyDescent="0.25">
      <c r="A364" s="2">
        <f t="shared" si="57"/>
        <v>85.52</v>
      </c>
      <c r="B364" s="6">
        <f t="shared" si="58"/>
        <v>0</v>
      </c>
      <c r="C364" s="2">
        <f t="shared" si="59"/>
        <v>42.76</v>
      </c>
      <c r="D364" s="6">
        <f t="shared" si="60"/>
        <v>0</v>
      </c>
      <c r="E364" s="2">
        <f t="shared" si="59"/>
        <v>21.38</v>
      </c>
      <c r="F364" s="6">
        <f t="shared" si="61"/>
        <v>0</v>
      </c>
      <c r="G364" s="2">
        <f t="shared" si="59"/>
        <v>10.69</v>
      </c>
      <c r="H364" s="6">
        <f t="shared" si="62"/>
        <v>0</v>
      </c>
      <c r="I364" s="2">
        <f t="shared" si="59"/>
        <v>5.3449999999999998</v>
      </c>
      <c r="J364" s="6">
        <f t="shared" si="63"/>
        <v>0</v>
      </c>
    </row>
    <row r="365" spans="1:10" x14ac:dyDescent="0.25">
      <c r="A365" s="2">
        <f t="shared" si="57"/>
        <v>85.77</v>
      </c>
      <c r="B365" s="6">
        <f t="shared" si="58"/>
        <v>0</v>
      </c>
      <c r="C365" s="2">
        <f t="shared" si="59"/>
        <v>42.884999999999998</v>
      </c>
      <c r="D365" s="6">
        <f t="shared" si="60"/>
        <v>0</v>
      </c>
      <c r="E365" s="2">
        <f t="shared" si="59"/>
        <v>21.442499999999999</v>
      </c>
      <c r="F365" s="6">
        <f t="shared" si="61"/>
        <v>0</v>
      </c>
      <c r="G365" s="2">
        <f t="shared" si="59"/>
        <v>10.72125</v>
      </c>
      <c r="H365" s="6">
        <f t="shared" si="62"/>
        <v>0</v>
      </c>
      <c r="I365" s="2">
        <f t="shared" si="59"/>
        <v>5.3606249999999998</v>
      </c>
      <c r="J365" s="6">
        <f t="shared" si="63"/>
        <v>0</v>
      </c>
    </row>
    <row r="366" spans="1:10" x14ac:dyDescent="0.25">
      <c r="A366" s="2">
        <f t="shared" si="57"/>
        <v>86.02</v>
      </c>
      <c r="B366" s="6">
        <f t="shared" si="58"/>
        <v>0</v>
      </c>
      <c r="C366" s="2">
        <f t="shared" si="59"/>
        <v>43.01</v>
      </c>
      <c r="D366" s="6">
        <f t="shared" si="60"/>
        <v>0</v>
      </c>
      <c r="E366" s="2">
        <f t="shared" si="59"/>
        <v>21.504999999999999</v>
      </c>
      <c r="F366" s="6">
        <f t="shared" si="61"/>
        <v>0</v>
      </c>
      <c r="G366" s="2">
        <f t="shared" si="59"/>
        <v>10.7525</v>
      </c>
      <c r="H366" s="6">
        <f t="shared" si="62"/>
        <v>0</v>
      </c>
      <c r="I366" s="2">
        <f t="shared" si="59"/>
        <v>5.3762499999999998</v>
      </c>
      <c r="J366" s="6">
        <f t="shared" si="63"/>
        <v>0</v>
      </c>
    </row>
    <row r="367" spans="1:10" x14ac:dyDescent="0.25">
      <c r="A367" s="2">
        <f t="shared" si="57"/>
        <v>86.27</v>
      </c>
      <c r="B367" s="6">
        <f t="shared" si="58"/>
        <v>0</v>
      </c>
      <c r="C367" s="2">
        <f t="shared" si="59"/>
        <v>43.134999999999998</v>
      </c>
      <c r="D367" s="6">
        <f t="shared" si="60"/>
        <v>0</v>
      </c>
      <c r="E367" s="2">
        <f t="shared" si="59"/>
        <v>21.567499999999999</v>
      </c>
      <c r="F367" s="6">
        <f t="shared" si="61"/>
        <v>0</v>
      </c>
      <c r="G367" s="2">
        <f t="shared" si="59"/>
        <v>10.78375</v>
      </c>
      <c r="H367" s="6">
        <f t="shared" si="62"/>
        <v>0</v>
      </c>
      <c r="I367" s="2">
        <f t="shared" si="59"/>
        <v>5.3918749999999998</v>
      </c>
      <c r="J367" s="6">
        <f t="shared" si="63"/>
        <v>0</v>
      </c>
    </row>
    <row r="368" spans="1:10" x14ac:dyDescent="0.25">
      <c r="A368" s="2">
        <f t="shared" si="57"/>
        <v>86.52</v>
      </c>
      <c r="B368" s="6">
        <f t="shared" si="58"/>
        <v>0</v>
      </c>
      <c r="C368" s="2">
        <f t="shared" si="59"/>
        <v>43.26</v>
      </c>
      <c r="D368" s="6">
        <f t="shared" si="60"/>
        <v>0</v>
      </c>
      <c r="E368" s="2">
        <f t="shared" si="59"/>
        <v>21.63</v>
      </c>
      <c r="F368" s="6">
        <f t="shared" si="61"/>
        <v>0</v>
      </c>
      <c r="G368" s="2">
        <f t="shared" si="59"/>
        <v>10.815</v>
      </c>
      <c r="H368" s="6">
        <f t="shared" si="62"/>
        <v>0</v>
      </c>
      <c r="I368" s="2">
        <f t="shared" si="59"/>
        <v>5.4074999999999998</v>
      </c>
      <c r="J368" s="6">
        <f t="shared" si="63"/>
        <v>0</v>
      </c>
    </row>
    <row r="369" spans="1:10" x14ac:dyDescent="0.25">
      <c r="A369" s="2">
        <f t="shared" si="57"/>
        <v>86.77</v>
      </c>
      <c r="B369" s="6">
        <f t="shared" si="58"/>
        <v>0</v>
      </c>
      <c r="C369" s="2">
        <f t="shared" si="59"/>
        <v>43.384999999999998</v>
      </c>
      <c r="D369" s="6">
        <f t="shared" si="60"/>
        <v>0</v>
      </c>
      <c r="E369" s="2">
        <f t="shared" si="59"/>
        <v>21.692499999999999</v>
      </c>
      <c r="F369" s="6">
        <f t="shared" si="61"/>
        <v>0</v>
      </c>
      <c r="G369" s="2">
        <f t="shared" si="59"/>
        <v>10.84625</v>
      </c>
      <c r="H369" s="6">
        <f t="shared" si="62"/>
        <v>0</v>
      </c>
      <c r="I369" s="2">
        <f t="shared" si="59"/>
        <v>5.4231249999999998</v>
      </c>
      <c r="J369" s="6">
        <f t="shared" si="63"/>
        <v>0</v>
      </c>
    </row>
    <row r="370" spans="1:10" x14ac:dyDescent="0.25">
      <c r="A370" s="2">
        <f t="shared" si="57"/>
        <v>87.02</v>
      </c>
      <c r="B370" s="6">
        <f t="shared" si="58"/>
        <v>0</v>
      </c>
      <c r="C370" s="2">
        <f t="shared" si="59"/>
        <v>43.51</v>
      </c>
      <c r="D370" s="6">
        <f t="shared" si="60"/>
        <v>0</v>
      </c>
      <c r="E370" s="2">
        <f t="shared" si="59"/>
        <v>21.754999999999999</v>
      </c>
      <c r="F370" s="6">
        <f t="shared" si="61"/>
        <v>0</v>
      </c>
      <c r="G370" s="2">
        <f t="shared" si="59"/>
        <v>10.8775</v>
      </c>
      <c r="H370" s="6">
        <f t="shared" si="62"/>
        <v>0</v>
      </c>
      <c r="I370" s="2">
        <f t="shared" si="59"/>
        <v>5.4387499999999998</v>
      </c>
      <c r="J370" s="6">
        <f t="shared" si="63"/>
        <v>0</v>
      </c>
    </row>
    <row r="371" spans="1:10" x14ac:dyDescent="0.25">
      <c r="A371" s="2">
        <f t="shared" si="57"/>
        <v>87.27</v>
      </c>
      <c r="B371" s="6">
        <f t="shared" si="58"/>
        <v>0</v>
      </c>
      <c r="C371" s="2">
        <f t="shared" si="59"/>
        <v>43.634999999999998</v>
      </c>
      <c r="D371" s="6">
        <f t="shared" si="60"/>
        <v>0</v>
      </c>
      <c r="E371" s="2">
        <f t="shared" si="59"/>
        <v>21.817499999999999</v>
      </c>
      <c r="F371" s="6">
        <f t="shared" si="61"/>
        <v>0</v>
      </c>
      <c r="G371" s="2">
        <f t="shared" si="59"/>
        <v>10.90875</v>
      </c>
      <c r="H371" s="6">
        <f t="shared" si="62"/>
        <v>0</v>
      </c>
      <c r="I371" s="2">
        <f t="shared" si="59"/>
        <v>5.4543749999999998</v>
      </c>
      <c r="J371" s="6">
        <f t="shared" si="63"/>
        <v>0</v>
      </c>
    </row>
    <row r="372" spans="1:10" x14ac:dyDescent="0.25">
      <c r="A372" s="2">
        <f t="shared" si="57"/>
        <v>87.52</v>
      </c>
      <c r="B372" s="6">
        <f t="shared" si="58"/>
        <v>0</v>
      </c>
      <c r="C372" s="2">
        <f t="shared" si="59"/>
        <v>43.76</v>
      </c>
      <c r="D372" s="6">
        <f t="shared" si="60"/>
        <v>0</v>
      </c>
      <c r="E372" s="2">
        <f t="shared" si="59"/>
        <v>21.88</v>
      </c>
      <c r="F372" s="6">
        <f t="shared" si="61"/>
        <v>0</v>
      </c>
      <c r="G372" s="2">
        <f t="shared" si="59"/>
        <v>10.94</v>
      </c>
      <c r="H372" s="6">
        <f t="shared" si="62"/>
        <v>0</v>
      </c>
      <c r="I372" s="2">
        <f t="shared" si="59"/>
        <v>5.47</v>
      </c>
      <c r="J372" s="6">
        <f t="shared" si="63"/>
        <v>0</v>
      </c>
    </row>
    <row r="373" spans="1:10" x14ac:dyDescent="0.25">
      <c r="A373" s="2">
        <f t="shared" si="57"/>
        <v>87.77</v>
      </c>
      <c r="B373" s="6">
        <f t="shared" si="58"/>
        <v>0</v>
      </c>
      <c r="C373" s="2">
        <f t="shared" si="59"/>
        <v>43.884999999999998</v>
      </c>
      <c r="D373" s="6">
        <f t="shared" si="60"/>
        <v>0</v>
      </c>
      <c r="E373" s="2">
        <f t="shared" si="59"/>
        <v>21.942499999999999</v>
      </c>
      <c r="F373" s="6">
        <f t="shared" si="61"/>
        <v>0</v>
      </c>
      <c r="G373" s="2">
        <f t="shared" si="59"/>
        <v>10.97125</v>
      </c>
      <c r="H373" s="6">
        <f t="shared" si="62"/>
        <v>0</v>
      </c>
      <c r="I373" s="2">
        <f t="shared" si="59"/>
        <v>5.4856249999999998</v>
      </c>
      <c r="J373" s="6">
        <f t="shared" si="63"/>
        <v>0</v>
      </c>
    </row>
    <row r="374" spans="1:10" x14ac:dyDescent="0.25">
      <c r="A374" s="2">
        <f t="shared" si="57"/>
        <v>88.02</v>
      </c>
      <c r="B374" s="6">
        <f t="shared" si="58"/>
        <v>0</v>
      </c>
      <c r="C374" s="2">
        <f t="shared" si="59"/>
        <v>44.01</v>
      </c>
      <c r="D374" s="6">
        <f t="shared" si="60"/>
        <v>0</v>
      </c>
      <c r="E374" s="2">
        <f t="shared" si="59"/>
        <v>22.004999999999999</v>
      </c>
      <c r="F374" s="6">
        <f t="shared" si="61"/>
        <v>0</v>
      </c>
      <c r="G374" s="2">
        <f t="shared" si="59"/>
        <v>11.0025</v>
      </c>
      <c r="H374" s="6">
        <f t="shared" si="62"/>
        <v>0</v>
      </c>
      <c r="I374" s="2">
        <f t="shared" si="59"/>
        <v>5.5012499999999998</v>
      </c>
      <c r="J374" s="6">
        <f t="shared" si="63"/>
        <v>0</v>
      </c>
    </row>
    <row r="375" spans="1:10" x14ac:dyDescent="0.25">
      <c r="A375" s="2">
        <f t="shared" si="57"/>
        <v>88.27</v>
      </c>
      <c r="B375" s="6">
        <f t="shared" si="58"/>
        <v>0</v>
      </c>
      <c r="C375" s="2">
        <f t="shared" si="59"/>
        <v>44.134999999999998</v>
      </c>
      <c r="D375" s="6">
        <f t="shared" si="60"/>
        <v>0</v>
      </c>
      <c r="E375" s="2">
        <f t="shared" si="59"/>
        <v>22.067499999999999</v>
      </c>
      <c r="F375" s="6">
        <f t="shared" si="61"/>
        <v>0</v>
      </c>
      <c r="G375" s="2">
        <f t="shared" si="59"/>
        <v>11.03375</v>
      </c>
      <c r="H375" s="6">
        <f t="shared" si="62"/>
        <v>0</v>
      </c>
      <c r="I375" s="2">
        <f t="shared" si="59"/>
        <v>5.5168749999999998</v>
      </c>
      <c r="J375" s="6">
        <f t="shared" si="63"/>
        <v>0</v>
      </c>
    </row>
    <row r="376" spans="1:10" x14ac:dyDescent="0.25">
      <c r="A376" s="2">
        <f t="shared" si="57"/>
        <v>88.52</v>
      </c>
      <c r="B376" s="6">
        <f t="shared" si="58"/>
        <v>0</v>
      </c>
      <c r="C376" s="2">
        <f t="shared" si="59"/>
        <v>44.26</v>
      </c>
      <c r="D376" s="6">
        <f t="shared" si="60"/>
        <v>0</v>
      </c>
      <c r="E376" s="2">
        <f t="shared" si="59"/>
        <v>22.13</v>
      </c>
      <c r="F376" s="6">
        <f t="shared" si="61"/>
        <v>0</v>
      </c>
      <c r="G376" s="2">
        <f t="shared" si="59"/>
        <v>11.065</v>
      </c>
      <c r="H376" s="6">
        <f t="shared" si="62"/>
        <v>0</v>
      </c>
      <c r="I376" s="2">
        <f t="shared" si="59"/>
        <v>5.5324999999999998</v>
      </c>
      <c r="J376" s="6">
        <f t="shared" si="63"/>
        <v>0</v>
      </c>
    </row>
    <row r="377" spans="1:10" x14ac:dyDescent="0.25">
      <c r="A377" s="2">
        <f t="shared" si="57"/>
        <v>88.77</v>
      </c>
      <c r="B377" s="6">
        <f t="shared" si="58"/>
        <v>0</v>
      </c>
      <c r="C377" s="2">
        <f t="shared" si="59"/>
        <v>44.384999999999998</v>
      </c>
      <c r="D377" s="6">
        <f t="shared" si="60"/>
        <v>0</v>
      </c>
      <c r="E377" s="2">
        <f t="shared" si="59"/>
        <v>22.192499999999999</v>
      </c>
      <c r="F377" s="6">
        <f t="shared" si="61"/>
        <v>0</v>
      </c>
      <c r="G377" s="2">
        <f t="shared" si="59"/>
        <v>11.09625</v>
      </c>
      <c r="H377" s="6">
        <f t="shared" si="62"/>
        <v>0</v>
      </c>
      <c r="I377" s="2">
        <f t="shared" si="59"/>
        <v>5.5481249999999998</v>
      </c>
      <c r="J377" s="6">
        <f t="shared" si="63"/>
        <v>0</v>
      </c>
    </row>
    <row r="378" spans="1:10" x14ac:dyDescent="0.25">
      <c r="A378" s="2">
        <f t="shared" si="57"/>
        <v>89.02</v>
      </c>
      <c r="B378" s="6">
        <f t="shared" si="58"/>
        <v>0</v>
      </c>
      <c r="C378" s="2">
        <f t="shared" si="59"/>
        <v>44.51</v>
      </c>
      <c r="D378" s="6">
        <f t="shared" si="60"/>
        <v>0</v>
      </c>
      <c r="E378" s="2">
        <f t="shared" si="59"/>
        <v>22.254999999999999</v>
      </c>
      <c r="F378" s="6">
        <f t="shared" si="61"/>
        <v>0</v>
      </c>
      <c r="G378" s="2">
        <f t="shared" si="59"/>
        <v>11.1275</v>
      </c>
      <c r="H378" s="6">
        <f t="shared" si="62"/>
        <v>0</v>
      </c>
      <c r="I378" s="2">
        <f t="shared" si="59"/>
        <v>5.5637499999999998</v>
      </c>
      <c r="J378" s="6">
        <f t="shared" si="63"/>
        <v>0</v>
      </c>
    </row>
    <row r="379" spans="1:10" x14ac:dyDescent="0.25">
      <c r="A379" s="2">
        <f t="shared" si="57"/>
        <v>89.27</v>
      </c>
      <c r="B379" s="6">
        <f t="shared" si="58"/>
        <v>0</v>
      </c>
      <c r="C379" s="2">
        <f t="shared" si="59"/>
        <v>44.634999999999998</v>
      </c>
      <c r="D379" s="6">
        <f t="shared" si="60"/>
        <v>0</v>
      </c>
      <c r="E379" s="2">
        <f t="shared" si="59"/>
        <v>22.317499999999999</v>
      </c>
      <c r="F379" s="6">
        <f t="shared" si="61"/>
        <v>0</v>
      </c>
      <c r="G379" s="2">
        <f t="shared" si="59"/>
        <v>11.15875</v>
      </c>
      <c r="H379" s="6">
        <f t="shared" si="62"/>
        <v>0</v>
      </c>
      <c r="I379" s="2">
        <f t="shared" si="59"/>
        <v>5.5793749999999998</v>
      </c>
      <c r="J379" s="6">
        <f t="shared" si="63"/>
        <v>0</v>
      </c>
    </row>
    <row r="380" spans="1:10" x14ac:dyDescent="0.25">
      <c r="A380" s="2">
        <f t="shared" si="57"/>
        <v>89.52</v>
      </c>
      <c r="B380" s="6">
        <f t="shared" si="58"/>
        <v>0</v>
      </c>
      <c r="C380" s="2">
        <f t="shared" si="59"/>
        <v>44.76</v>
      </c>
      <c r="D380" s="6">
        <f t="shared" si="60"/>
        <v>0</v>
      </c>
      <c r="E380" s="2">
        <f t="shared" si="59"/>
        <v>22.38</v>
      </c>
      <c r="F380" s="6">
        <f t="shared" si="61"/>
        <v>0</v>
      </c>
      <c r="G380" s="2">
        <f t="shared" si="59"/>
        <v>11.19</v>
      </c>
      <c r="H380" s="6">
        <f t="shared" si="62"/>
        <v>0</v>
      </c>
      <c r="I380" s="2">
        <f t="shared" si="59"/>
        <v>5.5949999999999998</v>
      </c>
      <c r="J380" s="6">
        <f t="shared" si="63"/>
        <v>0</v>
      </c>
    </row>
    <row r="381" spans="1:10" x14ac:dyDescent="0.25">
      <c r="A381" s="2">
        <f t="shared" si="57"/>
        <v>89.77</v>
      </c>
      <c r="B381" s="6">
        <f t="shared" si="58"/>
        <v>0</v>
      </c>
      <c r="C381" s="2">
        <f t="shared" si="59"/>
        <v>44.884999999999998</v>
      </c>
      <c r="D381" s="6">
        <f t="shared" si="60"/>
        <v>0</v>
      </c>
      <c r="E381" s="2">
        <f t="shared" si="59"/>
        <v>22.442499999999999</v>
      </c>
      <c r="F381" s="6">
        <f t="shared" si="61"/>
        <v>0</v>
      </c>
      <c r="G381" s="2">
        <f t="shared" si="59"/>
        <v>11.22125</v>
      </c>
      <c r="H381" s="6">
        <f t="shared" si="62"/>
        <v>0</v>
      </c>
      <c r="I381" s="2">
        <f t="shared" si="59"/>
        <v>5.6106249999999998</v>
      </c>
      <c r="J381" s="6">
        <f t="shared" si="63"/>
        <v>0</v>
      </c>
    </row>
    <row r="382" spans="1:10" x14ac:dyDescent="0.25">
      <c r="A382" s="2">
        <f t="shared" si="57"/>
        <v>90.02</v>
      </c>
      <c r="B382" s="6">
        <f t="shared" si="58"/>
        <v>0</v>
      </c>
      <c r="C382" s="2">
        <f t="shared" si="59"/>
        <v>45.01</v>
      </c>
      <c r="D382" s="6">
        <f t="shared" si="60"/>
        <v>0</v>
      </c>
      <c r="E382" s="2">
        <f t="shared" si="59"/>
        <v>22.504999999999999</v>
      </c>
      <c r="F382" s="6">
        <f t="shared" si="61"/>
        <v>0</v>
      </c>
      <c r="G382" s="2">
        <f t="shared" si="59"/>
        <v>11.2525</v>
      </c>
      <c r="H382" s="6">
        <f t="shared" si="62"/>
        <v>0</v>
      </c>
      <c r="I382" s="2">
        <f t="shared" si="59"/>
        <v>5.6262499999999998</v>
      </c>
      <c r="J382" s="6">
        <f t="shared" si="63"/>
        <v>0</v>
      </c>
    </row>
    <row r="383" spans="1:10" x14ac:dyDescent="0.25">
      <c r="A383" s="2">
        <f t="shared" si="57"/>
        <v>90.27</v>
      </c>
      <c r="B383" s="6">
        <f t="shared" si="58"/>
        <v>0</v>
      </c>
      <c r="C383" s="2">
        <f t="shared" si="59"/>
        <v>45.134999999999998</v>
      </c>
      <c r="D383" s="6">
        <f t="shared" si="60"/>
        <v>0</v>
      </c>
      <c r="E383" s="2">
        <f t="shared" si="59"/>
        <v>22.567499999999999</v>
      </c>
      <c r="F383" s="6">
        <f t="shared" si="61"/>
        <v>0</v>
      </c>
      <c r="G383" s="2">
        <f t="shared" si="59"/>
        <v>11.28375</v>
      </c>
      <c r="H383" s="6">
        <f t="shared" si="62"/>
        <v>0</v>
      </c>
      <c r="I383" s="2">
        <f t="shared" si="59"/>
        <v>5.6418749999999998</v>
      </c>
      <c r="J383" s="6">
        <f t="shared" si="63"/>
        <v>0</v>
      </c>
    </row>
    <row r="384" spans="1:10" x14ac:dyDescent="0.25">
      <c r="A384" s="2">
        <f t="shared" si="57"/>
        <v>90.52</v>
      </c>
      <c r="B384" s="6">
        <f t="shared" si="58"/>
        <v>0</v>
      </c>
      <c r="C384" s="2">
        <f t="shared" si="59"/>
        <v>45.26</v>
      </c>
      <c r="D384" s="6">
        <f t="shared" si="60"/>
        <v>0</v>
      </c>
      <c r="E384" s="2">
        <f t="shared" si="59"/>
        <v>22.63</v>
      </c>
      <c r="F384" s="6">
        <f t="shared" si="61"/>
        <v>0</v>
      </c>
      <c r="G384" s="2">
        <f t="shared" si="59"/>
        <v>11.315</v>
      </c>
      <c r="H384" s="6">
        <f t="shared" si="62"/>
        <v>0</v>
      </c>
      <c r="I384" s="2">
        <f t="shared" si="59"/>
        <v>5.6574999999999998</v>
      </c>
      <c r="J384" s="6">
        <f t="shared" si="63"/>
        <v>0</v>
      </c>
    </row>
    <row r="385" spans="1:10" x14ac:dyDescent="0.25">
      <c r="A385" s="2">
        <f t="shared" si="57"/>
        <v>90.77</v>
      </c>
      <c r="B385" s="6">
        <f t="shared" si="58"/>
        <v>0</v>
      </c>
      <c r="C385" s="2">
        <f t="shared" si="59"/>
        <v>45.384999999999998</v>
      </c>
      <c r="D385" s="6">
        <f t="shared" si="60"/>
        <v>0</v>
      </c>
      <c r="E385" s="2">
        <f t="shared" si="59"/>
        <v>22.692499999999999</v>
      </c>
      <c r="F385" s="6">
        <f t="shared" si="61"/>
        <v>0</v>
      </c>
      <c r="G385" s="2">
        <f t="shared" si="59"/>
        <v>11.34625</v>
      </c>
      <c r="H385" s="6">
        <f t="shared" si="62"/>
        <v>0</v>
      </c>
      <c r="I385" s="2">
        <f t="shared" si="59"/>
        <v>5.6731249999999998</v>
      </c>
      <c r="J385" s="6">
        <f t="shared" si="63"/>
        <v>0</v>
      </c>
    </row>
    <row r="386" spans="1:10" x14ac:dyDescent="0.25">
      <c r="A386" s="2">
        <f t="shared" si="57"/>
        <v>91.02</v>
      </c>
      <c r="B386" s="6">
        <f t="shared" si="58"/>
        <v>0</v>
      </c>
      <c r="C386" s="2">
        <f t="shared" si="59"/>
        <v>45.51</v>
      </c>
      <c r="D386" s="6">
        <f t="shared" si="60"/>
        <v>0</v>
      </c>
      <c r="E386" s="2">
        <f t="shared" si="59"/>
        <v>22.754999999999999</v>
      </c>
      <c r="F386" s="6">
        <f t="shared" si="61"/>
        <v>0</v>
      </c>
      <c r="G386" s="2">
        <f t="shared" si="59"/>
        <v>11.3775</v>
      </c>
      <c r="H386" s="6">
        <f t="shared" si="62"/>
        <v>0</v>
      </c>
      <c r="I386" s="2">
        <f t="shared" si="59"/>
        <v>5.6887499999999998</v>
      </c>
      <c r="J386" s="6">
        <f t="shared" si="63"/>
        <v>0</v>
      </c>
    </row>
    <row r="387" spans="1:10" x14ac:dyDescent="0.25">
      <c r="A387" s="2">
        <f t="shared" si="57"/>
        <v>91.27</v>
      </c>
      <c r="B387" s="6">
        <f t="shared" si="58"/>
        <v>0</v>
      </c>
      <c r="C387" s="2">
        <f t="shared" si="59"/>
        <v>45.634999999999998</v>
      </c>
      <c r="D387" s="6">
        <f t="shared" si="60"/>
        <v>0</v>
      </c>
      <c r="E387" s="2">
        <f t="shared" si="59"/>
        <v>22.817499999999999</v>
      </c>
      <c r="F387" s="6">
        <f t="shared" si="61"/>
        <v>0</v>
      </c>
      <c r="G387" s="2">
        <f t="shared" si="59"/>
        <v>11.40875</v>
      </c>
      <c r="H387" s="6">
        <f t="shared" si="62"/>
        <v>0</v>
      </c>
      <c r="I387" s="2">
        <f t="shared" si="59"/>
        <v>5.7043749999999998</v>
      </c>
      <c r="J387" s="6">
        <f t="shared" si="63"/>
        <v>0</v>
      </c>
    </row>
    <row r="388" spans="1:10" x14ac:dyDescent="0.25">
      <c r="A388" s="2">
        <f t="shared" si="57"/>
        <v>91.52</v>
      </c>
      <c r="B388" s="6">
        <f t="shared" si="58"/>
        <v>0</v>
      </c>
      <c r="C388" s="2">
        <f t="shared" si="59"/>
        <v>45.76</v>
      </c>
      <c r="D388" s="6">
        <f t="shared" si="60"/>
        <v>0</v>
      </c>
      <c r="E388" s="2">
        <f t="shared" si="59"/>
        <v>22.88</v>
      </c>
      <c r="F388" s="6">
        <f t="shared" si="61"/>
        <v>0</v>
      </c>
      <c r="G388" s="2">
        <f t="shared" si="59"/>
        <v>11.44</v>
      </c>
      <c r="H388" s="6">
        <f t="shared" si="62"/>
        <v>0</v>
      </c>
      <c r="I388" s="2">
        <f t="shared" si="59"/>
        <v>5.72</v>
      </c>
      <c r="J388" s="6">
        <f t="shared" si="63"/>
        <v>0</v>
      </c>
    </row>
    <row r="389" spans="1:10" x14ac:dyDescent="0.25">
      <c r="A389" s="2">
        <f t="shared" si="57"/>
        <v>91.77</v>
      </c>
      <c r="B389" s="6">
        <f t="shared" si="58"/>
        <v>0</v>
      </c>
      <c r="C389" s="2">
        <f t="shared" si="59"/>
        <v>45.884999999999998</v>
      </c>
      <c r="D389" s="6">
        <f t="shared" si="60"/>
        <v>0</v>
      </c>
      <c r="E389" s="2">
        <f t="shared" si="59"/>
        <v>22.942499999999999</v>
      </c>
      <c r="F389" s="6">
        <f t="shared" si="61"/>
        <v>0</v>
      </c>
      <c r="G389" s="2">
        <f t="shared" si="59"/>
        <v>11.47125</v>
      </c>
      <c r="H389" s="6">
        <f t="shared" si="62"/>
        <v>0</v>
      </c>
      <c r="I389" s="2">
        <f t="shared" si="59"/>
        <v>5.7356249999999998</v>
      </c>
      <c r="J389" s="6">
        <f t="shared" si="63"/>
        <v>0</v>
      </c>
    </row>
    <row r="390" spans="1:10" x14ac:dyDescent="0.25">
      <c r="A390" s="2">
        <f t="shared" si="57"/>
        <v>92.02</v>
      </c>
      <c r="B390" s="6">
        <f t="shared" si="58"/>
        <v>0</v>
      </c>
      <c r="C390" s="2">
        <f t="shared" si="59"/>
        <v>46.01</v>
      </c>
      <c r="D390" s="6">
        <f t="shared" si="60"/>
        <v>0</v>
      </c>
      <c r="E390" s="2">
        <f t="shared" si="59"/>
        <v>23.004999999999999</v>
      </c>
      <c r="F390" s="6">
        <f t="shared" si="61"/>
        <v>0</v>
      </c>
      <c r="G390" s="2">
        <f t="shared" si="59"/>
        <v>11.5025</v>
      </c>
      <c r="H390" s="6">
        <f t="shared" si="62"/>
        <v>0</v>
      </c>
      <c r="I390" s="2">
        <f t="shared" si="59"/>
        <v>5.7512499999999998</v>
      </c>
      <c r="J390" s="6">
        <f t="shared" si="63"/>
        <v>0</v>
      </c>
    </row>
    <row r="391" spans="1:10" x14ac:dyDescent="0.25">
      <c r="A391" s="2">
        <f t="shared" si="57"/>
        <v>92.27</v>
      </c>
      <c r="B391" s="6">
        <f t="shared" si="58"/>
        <v>0</v>
      </c>
      <c r="C391" s="2">
        <f t="shared" si="59"/>
        <v>46.134999999999998</v>
      </c>
      <c r="D391" s="6">
        <f t="shared" si="60"/>
        <v>0</v>
      </c>
      <c r="E391" s="2">
        <f t="shared" si="59"/>
        <v>23.067499999999999</v>
      </c>
      <c r="F391" s="6">
        <f t="shared" si="61"/>
        <v>0</v>
      </c>
      <c r="G391" s="2">
        <f t="shared" si="59"/>
        <v>11.53375</v>
      </c>
      <c r="H391" s="6">
        <f t="shared" si="62"/>
        <v>0</v>
      </c>
      <c r="I391" s="2">
        <f t="shared" si="59"/>
        <v>5.7668749999999998</v>
      </c>
      <c r="J391" s="6">
        <f t="shared" si="63"/>
        <v>0</v>
      </c>
    </row>
    <row r="392" spans="1:10" x14ac:dyDescent="0.25">
      <c r="A392" s="2">
        <f t="shared" si="57"/>
        <v>92.52</v>
      </c>
      <c r="B392" s="6">
        <f t="shared" si="58"/>
        <v>0</v>
      </c>
      <c r="C392" s="2">
        <f t="shared" si="59"/>
        <v>46.26</v>
      </c>
      <c r="D392" s="6">
        <f t="shared" si="60"/>
        <v>0</v>
      </c>
      <c r="E392" s="2">
        <f t="shared" si="59"/>
        <v>23.13</v>
      </c>
      <c r="F392" s="6">
        <f t="shared" si="61"/>
        <v>0</v>
      </c>
      <c r="G392" s="2">
        <f t="shared" si="59"/>
        <v>11.565</v>
      </c>
      <c r="H392" s="6">
        <f t="shared" si="62"/>
        <v>0</v>
      </c>
      <c r="I392" s="2">
        <f t="shared" si="59"/>
        <v>5.7824999999999998</v>
      </c>
      <c r="J392" s="6">
        <f t="shared" si="63"/>
        <v>0</v>
      </c>
    </row>
    <row r="393" spans="1:10" x14ac:dyDescent="0.25">
      <c r="A393" s="2">
        <f t="shared" si="57"/>
        <v>92.77</v>
      </c>
      <c r="B393" s="6">
        <f t="shared" si="58"/>
        <v>0</v>
      </c>
      <c r="C393" s="2">
        <f t="shared" si="59"/>
        <v>46.384999999999998</v>
      </c>
      <c r="D393" s="6">
        <f t="shared" si="60"/>
        <v>0</v>
      </c>
      <c r="E393" s="2">
        <f t="shared" si="59"/>
        <v>23.192499999999999</v>
      </c>
      <c r="F393" s="6">
        <f t="shared" si="61"/>
        <v>0</v>
      </c>
      <c r="G393" s="2">
        <f t="shared" si="59"/>
        <v>11.59625</v>
      </c>
      <c r="H393" s="6">
        <f t="shared" si="62"/>
        <v>0</v>
      </c>
      <c r="I393" s="2">
        <f t="shared" si="59"/>
        <v>5.7981249999999998</v>
      </c>
      <c r="J393" s="6">
        <f t="shared" si="63"/>
        <v>0</v>
      </c>
    </row>
    <row r="394" spans="1:10" x14ac:dyDescent="0.25">
      <c r="A394" s="2">
        <f t="shared" si="57"/>
        <v>93.02</v>
      </c>
      <c r="B394" s="6">
        <f t="shared" si="58"/>
        <v>0</v>
      </c>
      <c r="C394" s="2">
        <f t="shared" si="59"/>
        <v>46.51</v>
      </c>
      <c r="D394" s="6">
        <f t="shared" si="60"/>
        <v>0</v>
      </c>
      <c r="E394" s="2">
        <f t="shared" si="59"/>
        <v>23.254999999999999</v>
      </c>
      <c r="F394" s="6">
        <f t="shared" si="61"/>
        <v>0</v>
      </c>
      <c r="G394" s="2">
        <f t="shared" si="59"/>
        <v>11.6275</v>
      </c>
      <c r="H394" s="6">
        <f t="shared" si="62"/>
        <v>0</v>
      </c>
      <c r="I394" s="2">
        <f t="shared" si="59"/>
        <v>5.8137499999999998</v>
      </c>
      <c r="J394" s="6">
        <f t="shared" si="63"/>
        <v>0</v>
      </c>
    </row>
    <row r="395" spans="1:10" x14ac:dyDescent="0.25">
      <c r="A395" s="2">
        <f t="shared" si="57"/>
        <v>93.27</v>
      </c>
      <c r="B395" s="6">
        <f t="shared" si="58"/>
        <v>0</v>
      </c>
      <c r="C395" s="2">
        <f t="shared" si="59"/>
        <v>46.634999999999998</v>
      </c>
      <c r="D395" s="6">
        <f t="shared" si="60"/>
        <v>0</v>
      </c>
      <c r="E395" s="2">
        <f t="shared" si="59"/>
        <v>23.317499999999999</v>
      </c>
      <c r="F395" s="6">
        <f t="shared" si="61"/>
        <v>0</v>
      </c>
      <c r="G395" s="2">
        <f t="shared" si="59"/>
        <v>11.65875</v>
      </c>
      <c r="H395" s="6">
        <f t="shared" si="62"/>
        <v>0</v>
      </c>
      <c r="I395" s="2">
        <f t="shared" si="59"/>
        <v>5.8293749999999998</v>
      </c>
      <c r="J395" s="6">
        <f t="shared" si="63"/>
        <v>0</v>
      </c>
    </row>
    <row r="396" spans="1:10" x14ac:dyDescent="0.25">
      <c r="A396" s="2">
        <f t="shared" si="57"/>
        <v>93.52</v>
      </c>
      <c r="B396" s="6">
        <f t="shared" si="58"/>
        <v>0</v>
      </c>
      <c r="C396" s="2">
        <f t="shared" si="59"/>
        <v>46.76</v>
      </c>
      <c r="D396" s="6">
        <f t="shared" si="60"/>
        <v>0</v>
      </c>
      <c r="E396" s="2">
        <f t="shared" si="59"/>
        <v>23.38</v>
      </c>
      <c r="F396" s="6">
        <f t="shared" si="61"/>
        <v>0</v>
      </c>
      <c r="G396" s="2">
        <f t="shared" si="59"/>
        <v>11.69</v>
      </c>
      <c r="H396" s="6">
        <f t="shared" si="62"/>
        <v>0</v>
      </c>
      <c r="I396" s="2">
        <f t="shared" si="59"/>
        <v>5.8449999999999998</v>
      </c>
      <c r="J396" s="6">
        <f t="shared" si="63"/>
        <v>0</v>
      </c>
    </row>
    <row r="397" spans="1:10" x14ac:dyDescent="0.25">
      <c r="A397" s="2">
        <f t="shared" si="57"/>
        <v>93.77</v>
      </c>
      <c r="B397" s="6">
        <f t="shared" si="58"/>
        <v>0</v>
      </c>
      <c r="C397" s="2">
        <f t="shared" si="59"/>
        <v>46.884999999999998</v>
      </c>
      <c r="D397" s="6">
        <f t="shared" si="60"/>
        <v>0</v>
      </c>
      <c r="E397" s="2">
        <f t="shared" si="59"/>
        <v>23.442499999999999</v>
      </c>
      <c r="F397" s="6">
        <f t="shared" si="61"/>
        <v>0</v>
      </c>
      <c r="G397" s="2">
        <f t="shared" si="59"/>
        <v>11.72125</v>
      </c>
      <c r="H397" s="6">
        <f t="shared" si="62"/>
        <v>0</v>
      </c>
      <c r="I397" s="2">
        <f t="shared" si="59"/>
        <v>5.8606249999999998</v>
      </c>
      <c r="J397" s="6">
        <f t="shared" si="63"/>
        <v>0</v>
      </c>
    </row>
  </sheetData>
  <conditionalFormatting sqref="B22 B75:B397">
    <cfRule type="cellIs" dxfId="66" priority="346" operator="greaterThan">
      <formula>0.00005</formula>
    </cfRule>
  </conditionalFormatting>
  <conditionalFormatting sqref="D22 D75:D397">
    <cfRule type="cellIs" dxfId="65" priority="345" operator="greaterThan">
      <formula>0.00005</formula>
    </cfRule>
  </conditionalFormatting>
  <conditionalFormatting sqref="F22 F75:F397">
    <cfRule type="cellIs" dxfId="64" priority="344" operator="greaterThan">
      <formula>0.00005</formula>
    </cfRule>
  </conditionalFormatting>
  <conditionalFormatting sqref="A22">
    <cfRule type="cellIs" dxfId="63" priority="339" operator="equal">
      <formula>$B$3</formula>
    </cfRule>
  </conditionalFormatting>
  <conditionalFormatting sqref="A75:A397">
    <cfRule type="cellIs" dxfId="62" priority="338" operator="equal">
      <formula>$B$3</formula>
    </cfRule>
  </conditionalFormatting>
  <conditionalFormatting sqref="A78">
    <cfRule type="cellIs" dxfId="61" priority="337" operator="equal">
      <formula>$B$5</formula>
    </cfRule>
  </conditionalFormatting>
  <conditionalFormatting sqref="A77">
    <cfRule type="cellIs" dxfId="60" priority="336" operator="equal">
      <formula>$B$5</formula>
    </cfRule>
  </conditionalFormatting>
  <conditionalFormatting sqref="A76">
    <cfRule type="cellIs" dxfId="59" priority="335" operator="equal">
      <formula>$B$5</formula>
    </cfRule>
  </conditionalFormatting>
  <conditionalFormatting sqref="A75">
    <cfRule type="cellIs" dxfId="58" priority="334" operator="equal">
      <formula>$B$5</formula>
    </cfRule>
  </conditionalFormatting>
  <conditionalFormatting sqref="A75:A397">
    <cfRule type="cellIs" dxfId="57" priority="333" operator="equal">
      <formula>$B$5</formula>
    </cfRule>
  </conditionalFormatting>
  <conditionalFormatting sqref="C22">
    <cfRule type="cellIs" dxfId="56" priority="318" operator="equal">
      <formula>$B$3</formula>
    </cfRule>
  </conditionalFormatting>
  <conditionalFormatting sqref="C75:C397">
    <cfRule type="cellIs" dxfId="55" priority="298" operator="equal">
      <formula>$D$5</formula>
    </cfRule>
    <cfRule type="cellIs" dxfId="54" priority="299" operator="equal">
      <formula>$D$3</formula>
    </cfRule>
  </conditionalFormatting>
  <conditionalFormatting sqref="H22 H75:H397">
    <cfRule type="cellIs" dxfId="53" priority="285" operator="greaterThan">
      <formula>0.00005</formula>
    </cfRule>
  </conditionalFormatting>
  <conditionalFormatting sqref="J22 J75:J397">
    <cfRule type="cellIs" dxfId="52" priority="220" operator="greaterThan">
      <formula>0.00005</formula>
    </cfRule>
  </conditionalFormatting>
  <conditionalFormatting sqref="B23:B74">
    <cfRule type="cellIs" dxfId="51" priority="72" operator="greaterThan">
      <formula>0.00005</formula>
    </cfRule>
  </conditionalFormatting>
  <conditionalFormatting sqref="D23:D74">
    <cfRule type="cellIs" dxfId="50" priority="71" operator="greaterThan">
      <formula>0.00005</formula>
    </cfRule>
  </conditionalFormatting>
  <conditionalFormatting sqref="F23:F74">
    <cfRule type="cellIs" dxfId="49" priority="70" operator="greaterThan">
      <formula>0.00005</formula>
    </cfRule>
  </conditionalFormatting>
  <conditionalFormatting sqref="H23:H74">
    <cfRule type="cellIs" dxfId="48" priority="63" operator="greaterThan">
      <formula>0.00005</formula>
    </cfRule>
  </conditionalFormatting>
  <conditionalFormatting sqref="J23:J74">
    <cfRule type="cellIs" dxfId="47" priority="58" operator="greaterThan">
      <formula>0.00005</formula>
    </cfRule>
  </conditionalFormatting>
  <conditionalFormatting sqref="A23:A74">
    <cfRule type="cellIs" dxfId="46" priority="53" operator="equal">
      <formula>$B$3</formula>
    </cfRule>
  </conditionalFormatting>
  <conditionalFormatting sqref="A23:A74">
    <cfRule type="cellIs" dxfId="45" priority="52" operator="equal">
      <formula>$B$5</formula>
    </cfRule>
  </conditionalFormatting>
  <conditionalFormatting sqref="C23:C74">
    <cfRule type="cellIs" dxfId="44" priority="51" operator="equal">
      <formula>$B$3</formula>
    </cfRule>
  </conditionalFormatting>
  <conditionalFormatting sqref="C23:C74">
    <cfRule type="cellIs" dxfId="43" priority="50" operator="equal">
      <formula>$B$5</formula>
    </cfRule>
  </conditionalFormatting>
  <conditionalFormatting sqref="C22:C397">
    <cfRule type="cellIs" dxfId="42" priority="41" operator="equal">
      <formula>$D$5</formula>
    </cfRule>
    <cfRule type="cellIs" dxfId="41" priority="42" operator="equal">
      <formula>$D$3</formula>
    </cfRule>
    <cfRule type="cellIs" dxfId="40" priority="43" operator="equal">
      <formula>$D$3</formula>
    </cfRule>
  </conditionalFormatting>
  <conditionalFormatting sqref="E22">
    <cfRule type="cellIs" dxfId="39" priority="40" operator="equal">
      <formula>$B$3</formula>
    </cfRule>
  </conditionalFormatting>
  <conditionalFormatting sqref="E75:E397">
    <cfRule type="cellIs" dxfId="38" priority="38" operator="equal">
      <formula>$D$5</formula>
    </cfRule>
    <cfRule type="cellIs" dxfId="37" priority="39" operator="equal">
      <formula>$D$3</formula>
    </cfRule>
  </conditionalFormatting>
  <conditionalFormatting sqref="E23:E74">
    <cfRule type="cellIs" dxfId="36" priority="37" operator="equal">
      <formula>$B$3</formula>
    </cfRule>
  </conditionalFormatting>
  <conditionalFormatting sqref="E23:E74">
    <cfRule type="cellIs" dxfId="35" priority="36" operator="equal">
      <formula>$B$5</formula>
    </cfRule>
  </conditionalFormatting>
  <conditionalFormatting sqref="E22:E397">
    <cfRule type="cellIs" dxfId="34" priority="15" operator="equal">
      <formula>$F$5</formula>
    </cfRule>
    <cfRule type="cellIs" dxfId="33" priority="16" operator="equal">
      <formula>$F$3</formula>
    </cfRule>
    <cfRule type="cellIs" dxfId="32" priority="33" operator="equal">
      <formula>$D$5</formula>
    </cfRule>
    <cfRule type="cellIs" dxfId="31" priority="34" operator="equal">
      <formula>$D$3</formula>
    </cfRule>
    <cfRule type="cellIs" dxfId="30" priority="35" operator="equal">
      <formula>$D$3</formula>
    </cfRule>
  </conditionalFormatting>
  <conditionalFormatting sqref="G22">
    <cfRule type="cellIs" dxfId="29" priority="32" operator="equal">
      <formula>$B$3</formula>
    </cfRule>
  </conditionalFormatting>
  <conditionalFormatting sqref="G75:G397">
    <cfRule type="cellIs" dxfId="28" priority="30" operator="equal">
      <formula>$D$5</formula>
    </cfRule>
    <cfRule type="cellIs" dxfId="27" priority="31" operator="equal">
      <formula>$D$3</formula>
    </cfRule>
  </conditionalFormatting>
  <conditionalFormatting sqref="G23:G74">
    <cfRule type="cellIs" dxfId="26" priority="29" operator="equal">
      <formula>$B$3</formula>
    </cfRule>
  </conditionalFormatting>
  <conditionalFormatting sqref="G23:G74">
    <cfRule type="cellIs" dxfId="25" priority="28" operator="equal">
      <formula>$B$5</formula>
    </cfRule>
  </conditionalFormatting>
  <conditionalFormatting sqref="G22:G397">
    <cfRule type="cellIs" dxfId="24" priority="3" operator="equal">
      <formula>$H$5</formula>
    </cfRule>
    <cfRule type="cellIs" dxfId="23" priority="4" operator="equal">
      <formula>$H$3</formula>
    </cfRule>
    <cfRule type="cellIs" dxfId="22" priority="25" operator="equal">
      <formula>$D$5</formula>
    </cfRule>
    <cfRule type="cellIs" dxfId="21" priority="26" operator="equal">
      <formula>$D$3</formula>
    </cfRule>
    <cfRule type="cellIs" dxfId="20" priority="27" operator="equal">
      <formula>$D$3</formula>
    </cfRule>
  </conditionalFormatting>
  <conditionalFormatting sqref="I22">
    <cfRule type="cellIs" dxfId="19" priority="24" operator="equal">
      <formula>$B$3</formula>
    </cfRule>
  </conditionalFormatting>
  <conditionalFormatting sqref="I75:I397">
    <cfRule type="cellIs" dxfId="18" priority="22" operator="equal">
      <formula>$D$5</formula>
    </cfRule>
    <cfRule type="cellIs" dxfId="17" priority="23" operator="equal">
      <formula>$D$3</formula>
    </cfRule>
  </conditionalFormatting>
  <conditionalFormatting sqref="I23:I74">
    <cfRule type="cellIs" dxfId="16" priority="21" operator="equal">
      <formula>$B$3</formula>
    </cfRule>
  </conditionalFormatting>
  <conditionalFormatting sqref="I23:I74">
    <cfRule type="cellIs" dxfId="15" priority="20" operator="equal">
      <formula>$B$5</formula>
    </cfRule>
  </conditionalFormatting>
  <conditionalFormatting sqref="I22:I397">
    <cfRule type="cellIs" dxfId="14" priority="1" operator="equal">
      <formula>$J$5</formula>
    </cfRule>
    <cfRule type="cellIs" dxfId="13" priority="2" operator="equal">
      <formula>$J$3</formula>
    </cfRule>
    <cfRule type="cellIs" dxfId="12" priority="17" operator="equal">
      <formula>$D$5</formula>
    </cfRule>
    <cfRule type="cellIs" dxfId="11" priority="18" operator="equal">
      <formula>$D$3</formula>
    </cfRule>
    <cfRule type="cellIs" dxfId="10" priority="19" operator="equal">
      <formula>$D$3</formula>
    </cfRule>
  </conditionalFormatting>
  <conditionalFormatting sqref="G22">
    <cfRule type="cellIs" dxfId="9" priority="14" operator="equal">
      <formula>$B$3</formula>
    </cfRule>
  </conditionalFormatting>
  <conditionalFormatting sqref="G75:G397">
    <cfRule type="cellIs" dxfId="8" priority="12" operator="equal">
      <formula>$D$5</formula>
    </cfRule>
    <cfRule type="cellIs" dxfId="7" priority="13" operator="equal">
      <formula>$D$3</formula>
    </cfRule>
  </conditionalFormatting>
  <conditionalFormatting sqref="G23:G74">
    <cfRule type="cellIs" dxfId="6" priority="11" operator="equal">
      <formula>$B$3</formula>
    </cfRule>
  </conditionalFormatting>
  <conditionalFormatting sqref="G23:G74">
    <cfRule type="cellIs" dxfId="5" priority="10" operator="equal">
      <formula>$B$5</formula>
    </cfRule>
  </conditionalFormatting>
  <conditionalFormatting sqref="G22:G397">
    <cfRule type="cellIs" dxfId="4" priority="5" operator="equal">
      <formula>$F$5</formula>
    </cfRule>
    <cfRule type="cellIs" dxfId="3" priority="6" operator="equal">
      <formula>$F$3</formula>
    </cfRule>
    <cfRule type="cellIs" dxfId="2" priority="7" operator="equal">
      <formula>$D$5</formula>
    </cfRule>
    <cfRule type="cellIs" dxfId="1" priority="8" operator="equal">
      <formula>$D$3</formula>
    </cfRule>
    <cfRule type="cellIs" dxfId="0" priority="9" operator="equal">
      <formula>$D$3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D85E2-3AA6-44F4-99BD-13A1B9A42C11}">
  <dimension ref="A1:H32"/>
  <sheetViews>
    <sheetView tabSelected="1" workbookViewId="0">
      <selection activeCell="L21" sqref="L21"/>
    </sheetView>
  </sheetViews>
  <sheetFormatPr defaultRowHeight="15" x14ac:dyDescent="0.25"/>
  <cols>
    <col min="1" max="1" width="25.5703125" customWidth="1"/>
    <col min="2" max="2" width="12.5703125" customWidth="1"/>
    <col min="4" max="8" width="22.42578125" customWidth="1"/>
  </cols>
  <sheetData>
    <row r="1" spans="1:8" x14ac:dyDescent="0.25">
      <c r="A1">
        <v>1000000</v>
      </c>
      <c r="D1" t="s">
        <v>22</v>
      </c>
    </row>
    <row r="2" spans="1:8" x14ac:dyDescent="0.25">
      <c r="D2">
        <v>0</v>
      </c>
      <c r="E2">
        <v>1</v>
      </c>
      <c r="F2">
        <v>2</v>
      </c>
      <c r="G2">
        <v>3</v>
      </c>
      <c r="H2">
        <v>4</v>
      </c>
    </row>
    <row r="3" spans="1:8" x14ac:dyDescent="0.25">
      <c r="A3" s="9" t="s">
        <v>12</v>
      </c>
      <c r="B3">
        <v>0.2</v>
      </c>
      <c r="D3" s="21">
        <f>$A$1*ABS(Sheet4!B13)</f>
        <v>148800</v>
      </c>
      <c r="E3" s="21">
        <f>$A$1*ABS(Sheet4!D13)</f>
        <v>34800.300000000003</v>
      </c>
      <c r="F3" s="21">
        <f>$A$1*ABS(Sheet4!F13)</f>
        <v>8420.9320000000007</v>
      </c>
      <c r="G3" s="21">
        <f>$A$1*ABS(Sheet4!H13)</f>
        <v>2070.1251000000002</v>
      </c>
      <c r="H3" s="21">
        <f>$A$1*ABS(Sheet4!J13)</f>
        <v>513.09789999999998</v>
      </c>
    </row>
    <row r="4" spans="1:8" x14ac:dyDescent="0.25">
      <c r="A4" s="10" t="s">
        <v>1</v>
      </c>
      <c r="B4">
        <v>0.25</v>
      </c>
      <c r="D4" s="21">
        <f>$A$1*ABS(Sheet4!B14)</f>
        <v>61000</v>
      </c>
      <c r="E4" s="21">
        <f>$A$1*ABS(Sheet4!D14)</f>
        <v>16909.2</v>
      </c>
      <c r="F4" s="21">
        <f>$A$1*ABS(Sheet4!F14)</f>
        <v>4401.0820000000003</v>
      </c>
      <c r="G4" s="21">
        <f>$A$1*ABS(Sheet4!H14)</f>
        <v>1119.2274</v>
      </c>
      <c r="H4" s="21">
        <f>$A$1*ABS(Sheet4!J14)</f>
        <v>281.98090000000002</v>
      </c>
    </row>
    <row r="5" spans="1:8" x14ac:dyDescent="0.25">
      <c r="A5" s="10" t="s">
        <v>3</v>
      </c>
      <c r="B5">
        <v>0.77</v>
      </c>
      <c r="D5" s="21">
        <f>$A$1*ABS(Sheet4!B15)</f>
        <v>64000</v>
      </c>
      <c r="E5" s="21">
        <f>$A$1*ABS(Sheet4!D15)</f>
        <v>6793.5</v>
      </c>
      <c r="F5" s="21">
        <f>$A$1*ABS(Sheet4!F15)</f>
        <v>795.08500000000004</v>
      </c>
      <c r="G5" s="21">
        <f>$A$1*ABS(Sheet4!H15)</f>
        <v>96.344099999999997</v>
      </c>
      <c r="H5" s="21">
        <f>$A$1*ABS(Sheet4!J15)</f>
        <v>11.8606</v>
      </c>
    </row>
    <row r="6" spans="1:8" x14ac:dyDescent="0.25">
      <c r="A6" s="24"/>
      <c r="D6" s="21">
        <f>$A$1*ABS(Sheet4!B16)</f>
        <v>8000</v>
      </c>
      <c r="E6" s="21">
        <f>$A$1*ABS(Sheet4!D16)</f>
        <v>205.8</v>
      </c>
      <c r="F6" s="21">
        <f>$A$1*ABS(Sheet4!F16)</f>
        <v>5.8440000000000003</v>
      </c>
      <c r="G6" s="21">
        <f>$A$1*ABS(Sheet4!H16)</f>
        <v>0.17449999999999999</v>
      </c>
      <c r="H6" s="21">
        <f>$A$1*ABS(Sheet4!J16)</f>
        <v>5.3E-3</v>
      </c>
    </row>
    <row r="7" spans="1:8" x14ac:dyDescent="0.25">
      <c r="A7" s="22" t="s">
        <v>23</v>
      </c>
      <c r="D7">
        <f>Sheet4!B19</f>
        <v>4</v>
      </c>
      <c r="E7">
        <f>Sheet4!D19</f>
        <v>9</v>
      </c>
      <c r="F7">
        <f>Sheet4!F19</f>
        <v>19</v>
      </c>
      <c r="G7">
        <f>Sheet4!H19</f>
        <v>38</v>
      </c>
      <c r="H7">
        <f>Sheet4!J19</f>
        <v>76</v>
      </c>
    </row>
    <row r="10" spans="1:8" x14ac:dyDescent="0.25">
      <c r="A10" t="s">
        <v>12</v>
      </c>
      <c r="B10">
        <v>0.1</v>
      </c>
      <c r="D10">
        <v>512900</v>
      </c>
      <c r="E10">
        <v>132800.70000000001</v>
      </c>
      <c r="F10">
        <v>33272.036</v>
      </c>
      <c r="G10">
        <v>8254.9989000000005</v>
      </c>
      <c r="H10">
        <v>2050.8150000000001</v>
      </c>
    </row>
    <row r="11" spans="1:8" x14ac:dyDescent="0.25">
      <c r="A11" t="s">
        <v>1</v>
      </c>
      <c r="B11">
        <v>0.25</v>
      </c>
      <c r="D11">
        <v>230000</v>
      </c>
      <c r="E11">
        <v>66024.7</v>
      </c>
      <c r="F11">
        <v>17490.116000000002</v>
      </c>
      <c r="G11">
        <v>4469.4270999999999</v>
      </c>
      <c r="H11">
        <v>1127.4469999999999</v>
      </c>
    </row>
    <row r="12" spans="1:8" x14ac:dyDescent="0.25">
      <c r="A12" t="s">
        <v>3</v>
      </c>
      <c r="B12">
        <v>0.77</v>
      </c>
      <c r="D12">
        <v>282700</v>
      </c>
      <c r="E12">
        <v>27463.4</v>
      </c>
      <c r="F12">
        <v>3184.143</v>
      </c>
      <c r="G12">
        <v>385.43189999999998</v>
      </c>
      <c r="H12">
        <v>47.443399999999997</v>
      </c>
    </row>
    <row r="13" spans="1:8" x14ac:dyDescent="0.25">
      <c r="D13">
        <v>36600</v>
      </c>
      <c r="E13">
        <v>818.3</v>
      </c>
      <c r="F13">
        <v>23.376000000000001</v>
      </c>
      <c r="G13">
        <v>0.69789999999999996</v>
      </c>
      <c r="H13">
        <v>2.1299999999999999E-2</v>
      </c>
    </row>
    <row r="14" spans="1:8" x14ac:dyDescent="0.25">
      <c r="D14">
        <v>3</v>
      </c>
      <c r="E14">
        <v>5</v>
      </c>
      <c r="F14">
        <v>9</v>
      </c>
      <c r="G14">
        <v>18</v>
      </c>
      <c r="H14">
        <v>34</v>
      </c>
    </row>
    <row r="16" spans="1:8" x14ac:dyDescent="0.25">
      <c r="A16" t="s">
        <v>12</v>
      </c>
      <c r="B16">
        <v>0.1</v>
      </c>
      <c r="D16">
        <v>443300</v>
      </c>
      <c r="E16">
        <v>126823.3</v>
      </c>
      <c r="F16">
        <v>32634.73</v>
      </c>
      <c r="G16">
        <v>8183.4384</v>
      </c>
      <c r="H16">
        <v>2042.4054000000001</v>
      </c>
    </row>
    <row r="17" spans="1:8" x14ac:dyDescent="0.25">
      <c r="A17" t="s">
        <v>1</v>
      </c>
      <c r="B17">
        <v>0.25</v>
      </c>
      <c r="D17">
        <v>266500</v>
      </c>
      <c r="E17">
        <v>73497</v>
      </c>
      <c r="F17">
        <v>18476.713</v>
      </c>
      <c r="G17">
        <v>4594.5812999999998</v>
      </c>
      <c r="H17">
        <v>1143.1498999999999</v>
      </c>
    </row>
    <row r="18" spans="1:8" x14ac:dyDescent="0.25">
      <c r="A18" t="s">
        <v>3</v>
      </c>
      <c r="B18">
        <v>0.98</v>
      </c>
      <c r="D18">
        <v>130900</v>
      </c>
      <c r="E18">
        <v>21037.7</v>
      </c>
      <c r="F18">
        <v>2813.529</v>
      </c>
      <c r="G18">
        <v>362.72809999999998</v>
      </c>
      <c r="H18">
        <v>46.031500000000001</v>
      </c>
    </row>
    <row r="19" spans="1:8" x14ac:dyDescent="0.25">
      <c r="D19">
        <v>28600</v>
      </c>
      <c r="E19">
        <v>579.4</v>
      </c>
      <c r="F19">
        <v>19.616</v>
      </c>
      <c r="G19">
        <v>0.63929999999999998</v>
      </c>
      <c r="H19">
        <v>2.0400000000000001E-2</v>
      </c>
    </row>
    <row r="20" spans="1:8" x14ac:dyDescent="0.25">
      <c r="D20">
        <v>2</v>
      </c>
      <c r="E20">
        <v>4</v>
      </c>
      <c r="F20">
        <v>8</v>
      </c>
      <c r="G20">
        <v>17</v>
      </c>
      <c r="H20">
        <v>35</v>
      </c>
    </row>
    <row r="22" spans="1:8" x14ac:dyDescent="0.25">
      <c r="A22" t="s">
        <v>12</v>
      </c>
      <c r="B22">
        <v>0.1</v>
      </c>
      <c r="D22">
        <v>595300</v>
      </c>
      <c r="E22">
        <v>146863.29999999999</v>
      </c>
      <c r="F22">
        <v>35167.966</v>
      </c>
      <c r="G22">
        <v>8494.6262999999999</v>
      </c>
      <c r="H22">
        <v>2080.7193000000002</v>
      </c>
    </row>
    <row r="23" spans="1:8" x14ac:dyDescent="0.25">
      <c r="A23" t="s">
        <v>1</v>
      </c>
      <c r="B23">
        <v>0.25</v>
      </c>
      <c r="D23">
        <v>290000</v>
      </c>
      <c r="E23">
        <v>66806</v>
      </c>
      <c r="F23">
        <v>16376.878000000001</v>
      </c>
      <c r="G23">
        <v>4075.2298000000001</v>
      </c>
      <c r="H23">
        <v>1017.64</v>
      </c>
    </row>
    <row r="24" spans="1:8" x14ac:dyDescent="0.25">
      <c r="A24" t="s">
        <v>3</v>
      </c>
      <c r="B24">
        <v>0.875</v>
      </c>
      <c r="D24">
        <v>9300</v>
      </c>
      <c r="E24">
        <v>338</v>
      </c>
      <c r="F24">
        <v>21.33</v>
      </c>
      <c r="G24">
        <v>1.3391</v>
      </c>
      <c r="H24">
        <v>8.3799999999999999E-2</v>
      </c>
    </row>
    <row r="25" spans="1:8" x14ac:dyDescent="0.25">
      <c r="D25">
        <v>4900</v>
      </c>
      <c r="E25">
        <v>10.6</v>
      </c>
      <c r="F25">
        <v>0.11899999999999999</v>
      </c>
      <c r="G25">
        <v>1.9E-3</v>
      </c>
      <c r="H25">
        <v>0</v>
      </c>
    </row>
    <row r="26" spans="1:8" x14ac:dyDescent="0.25">
      <c r="D26">
        <v>2</v>
      </c>
      <c r="E26">
        <v>4</v>
      </c>
      <c r="F26">
        <v>9</v>
      </c>
      <c r="G26">
        <v>17</v>
      </c>
      <c r="H26">
        <v>35</v>
      </c>
    </row>
    <row r="28" spans="1:8" x14ac:dyDescent="0.25">
      <c r="A28" t="s">
        <v>12</v>
      </c>
      <c r="B28">
        <v>0.2</v>
      </c>
      <c r="D28">
        <v>148800</v>
      </c>
      <c r="E28">
        <v>34800.300000000003</v>
      </c>
      <c r="F28">
        <v>8420.9320000000007</v>
      </c>
      <c r="G28">
        <v>2070.1251000000002</v>
      </c>
      <c r="H28">
        <v>513.09789999999998</v>
      </c>
    </row>
    <row r="29" spans="1:8" x14ac:dyDescent="0.25">
      <c r="A29" t="s">
        <v>1</v>
      </c>
      <c r="B29">
        <v>0.25</v>
      </c>
      <c r="D29">
        <v>61000</v>
      </c>
      <c r="E29">
        <v>16909.2</v>
      </c>
      <c r="F29">
        <v>4401.0820000000003</v>
      </c>
      <c r="G29">
        <v>1119.2274</v>
      </c>
      <c r="H29">
        <v>281.98090000000002</v>
      </c>
    </row>
    <row r="30" spans="1:8" x14ac:dyDescent="0.25">
      <c r="A30" t="s">
        <v>3</v>
      </c>
      <c r="B30">
        <v>0.77</v>
      </c>
      <c r="D30">
        <v>64000</v>
      </c>
      <c r="E30">
        <v>6793.5</v>
      </c>
      <c r="F30">
        <v>795.08500000000004</v>
      </c>
      <c r="G30">
        <v>96.344099999999997</v>
      </c>
      <c r="H30">
        <v>11.8606</v>
      </c>
    </row>
    <row r="31" spans="1:8" x14ac:dyDescent="0.25">
      <c r="D31">
        <v>8000</v>
      </c>
      <c r="E31">
        <v>205.8</v>
      </c>
      <c r="F31">
        <v>5.8440000000000003</v>
      </c>
      <c r="G31">
        <v>0.17449999999999999</v>
      </c>
      <c r="H31">
        <v>5.3E-3</v>
      </c>
    </row>
    <row r="32" spans="1:8" x14ac:dyDescent="0.25">
      <c r="D32">
        <v>4</v>
      </c>
      <c r="E32">
        <v>9</v>
      </c>
      <c r="F32">
        <v>19</v>
      </c>
      <c r="G32">
        <v>38</v>
      </c>
      <c r="H32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Sheet4</vt:lpstr>
      <vt:lpstr>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Heston</dc:creator>
  <cp:lastModifiedBy>Christopher Jones</cp:lastModifiedBy>
  <dcterms:created xsi:type="dcterms:W3CDTF">2021-09-15T15:18:29Z</dcterms:created>
  <dcterms:modified xsi:type="dcterms:W3CDTF">2022-05-17T16:49:22Z</dcterms:modified>
</cp:coreProperties>
</file>